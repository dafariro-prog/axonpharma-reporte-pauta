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lfredo Ron\Downloads\"/>
    </mc:Choice>
  </mc:AlternateContent>
  <xr:revisionPtr revIDLastSave="0" documentId="13_ncr:1_{45D85499-65C9-4557-8803-7967E4998585}" xr6:coauthVersionLast="47" xr6:coauthVersionMax="47" xr10:uidLastSave="{00000000-0000-0000-0000-000000000000}"/>
  <bookViews>
    <workbookView xWindow="-120" yWindow="-120" windowWidth="20730" windowHeight="11040" tabRatio="500" xr2:uid="{00000000-000D-0000-FFFF-FFFF00000000}"/>
  </bookViews>
  <sheets>
    <sheet name="Portada" sheetId="1" r:id="rId1"/>
    <sheet name="Resumen" sheetId="2" r:id="rId2"/>
    <sheet name="Desempeño Diario" sheetId="3" r:id="rId3"/>
    <sheet name="Audiencia" sheetId="4" r:id="rId4"/>
    <sheet name="Contenido" sheetId="5" r:id="rId5"/>
    <sheet name="Dispositivo" sheetId="6" r:id="rId6"/>
    <sheet name="Conclusione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0" i="2" l="1"/>
  <c r="F8" i="2"/>
  <c r="O6" i="2"/>
  <c r="Q6" i="2"/>
  <c r="R6" i="2"/>
  <c r="S6" i="2"/>
  <c r="T6" i="2"/>
  <c r="J28" i="2" s="1"/>
  <c r="U6" i="2"/>
  <c r="V6" i="2"/>
  <c r="L28" i="2" s="1"/>
  <c r="W6" i="2"/>
  <c r="M28" i="2" s="1"/>
  <c r="M26" i="2"/>
  <c r="M27" i="2"/>
  <c r="J9" i="6"/>
  <c r="H9" i="6"/>
  <c r="F9" i="6"/>
  <c r="D9" i="6"/>
  <c r="J8" i="6"/>
  <c r="H8" i="6"/>
  <c r="F8" i="6"/>
  <c r="D8" i="6"/>
  <c r="J85" i="5"/>
  <c r="H85" i="5"/>
  <c r="F85" i="5"/>
  <c r="D85" i="5"/>
  <c r="J84" i="5"/>
  <c r="H84" i="5"/>
  <c r="F84" i="5"/>
  <c r="D84" i="5"/>
  <c r="J83" i="5"/>
  <c r="H83" i="5"/>
  <c r="F83" i="5"/>
  <c r="D83" i="5"/>
  <c r="J82" i="5"/>
  <c r="H82" i="5"/>
  <c r="F82" i="5"/>
  <c r="D82" i="5"/>
  <c r="J81" i="5"/>
  <c r="H81" i="5"/>
  <c r="F81" i="5"/>
  <c r="D81" i="5"/>
  <c r="J80" i="5"/>
  <c r="H80" i="5"/>
  <c r="F80" i="5"/>
  <c r="D80" i="5"/>
  <c r="J79" i="5"/>
  <c r="H79" i="5"/>
  <c r="F79" i="5"/>
  <c r="D79" i="5"/>
  <c r="J78" i="5"/>
  <c r="H78" i="5"/>
  <c r="F78" i="5"/>
  <c r="D78" i="5"/>
  <c r="J77" i="5"/>
  <c r="H77" i="5"/>
  <c r="F77" i="5"/>
  <c r="D77" i="5"/>
  <c r="J76" i="5"/>
  <c r="H76" i="5"/>
  <c r="F76" i="5"/>
  <c r="D76" i="5"/>
  <c r="J51" i="5"/>
  <c r="H51" i="5"/>
  <c r="F51" i="5"/>
  <c r="D51" i="5"/>
  <c r="J50" i="5"/>
  <c r="H50" i="5"/>
  <c r="F50" i="5"/>
  <c r="D50" i="5"/>
  <c r="J49" i="5"/>
  <c r="H49" i="5"/>
  <c r="F49" i="5"/>
  <c r="D49" i="5"/>
  <c r="J48" i="5"/>
  <c r="H48" i="5"/>
  <c r="F48" i="5"/>
  <c r="D48" i="5"/>
  <c r="J47" i="5"/>
  <c r="H47" i="5"/>
  <c r="F47" i="5"/>
  <c r="D47" i="5"/>
  <c r="J46" i="5"/>
  <c r="H46" i="5"/>
  <c r="F46" i="5"/>
  <c r="D46" i="5"/>
  <c r="J45" i="5"/>
  <c r="H45" i="5"/>
  <c r="F45" i="5"/>
  <c r="D45" i="5"/>
  <c r="J44" i="5"/>
  <c r="H44" i="5"/>
  <c r="F44" i="5"/>
  <c r="D44" i="5"/>
  <c r="J43" i="5"/>
  <c r="H43" i="5"/>
  <c r="F43" i="5"/>
  <c r="D43" i="5"/>
  <c r="J42" i="5"/>
  <c r="H42" i="5"/>
  <c r="F42" i="5"/>
  <c r="D42" i="5"/>
  <c r="J17" i="5"/>
  <c r="H17" i="5"/>
  <c r="F17" i="5"/>
  <c r="D17" i="5"/>
  <c r="J16" i="5"/>
  <c r="H16" i="5"/>
  <c r="F16" i="5"/>
  <c r="D16" i="5"/>
  <c r="J15" i="5"/>
  <c r="H15" i="5"/>
  <c r="F15" i="5"/>
  <c r="D15" i="5"/>
  <c r="J14" i="5"/>
  <c r="H14" i="5"/>
  <c r="F14" i="5"/>
  <c r="D14" i="5"/>
  <c r="J13" i="5"/>
  <c r="H13" i="5"/>
  <c r="F13" i="5"/>
  <c r="D13" i="5"/>
  <c r="J12" i="5"/>
  <c r="H12" i="5"/>
  <c r="F12" i="5"/>
  <c r="D12" i="5"/>
  <c r="J11" i="5"/>
  <c r="H11" i="5"/>
  <c r="F11" i="5"/>
  <c r="D11" i="5"/>
  <c r="J10" i="5"/>
  <c r="H10" i="5"/>
  <c r="F10" i="5"/>
  <c r="D10" i="5"/>
  <c r="J9" i="5"/>
  <c r="H9" i="5"/>
  <c r="F9" i="5"/>
  <c r="D9" i="5"/>
  <c r="J8" i="5"/>
  <c r="H8" i="5"/>
  <c r="F8" i="5"/>
  <c r="D8" i="5"/>
  <c r="J38" i="4"/>
  <c r="H38" i="4"/>
  <c r="F38" i="4"/>
  <c r="D38" i="4"/>
  <c r="J37" i="4"/>
  <c r="H37" i="4"/>
  <c r="F37" i="4"/>
  <c r="D37" i="4"/>
  <c r="J36" i="4"/>
  <c r="H36" i="4"/>
  <c r="F36" i="4"/>
  <c r="D36" i="4"/>
  <c r="J11" i="4"/>
  <c r="H11" i="4"/>
  <c r="F11" i="4"/>
  <c r="D11" i="4"/>
  <c r="J10" i="4"/>
  <c r="H10" i="4"/>
  <c r="F10" i="4"/>
  <c r="D10" i="4"/>
  <c r="J9" i="4"/>
  <c r="H9" i="4"/>
  <c r="F9" i="4"/>
  <c r="D9" i="4"/>
  <c r="J8" i="4"/>
  <c r="H8" i="4"/>
  <c r="F8" i="4"/>
  <c r="D8" i="4"/>
  <c r="F27" i="3"/>
  <c r="G27" i="3" s="1"/>
  <c r="E27" i="3"/>
  <c r="D27" i="3"/>
  <c r="C27" i="3"/>
  <c r="H27" i="3" s="1"/>
  <c r="H26" i="3"/>
  <c r="G26" i="3"/>
  <c r="H25" i="3"/>
  <c r="G25" i="3"/>
  <c r="H24" i="3"/>
  <c r="G24" i="3"/>
  <c r="H23" i="3"/>
  <c r="G23" i="3"/>
  <c r="H22" i="3"/>
  <c r="G22" i="3"/>
  <c r="H21" i="3"/>
  <c r="G21" i="3"/>
  <c r="H20" i="3"/>
  <c r="G20" i="3"/>
  <c r="H19" i="3"/>
  <c r="G19" i="3"/>
  <c r="H18" i="3"/>
  <c r="G18" i="3"/>
  <c r="H17" i="3"/>
  <c r="G17" i="3"/>
  <c r="H16" i="3"/>
  <c r="G16" i="3"/>
  <c r="H15" i="3"/>
  <c r="G15" i="3"/>
  <c r="H14" i="3"/>
  <c r="G14" i="3"/>
  <c r="H13" i="3"/>
  <c r="G13" i="3"/>
  <c r="H12" i="3"/>
  <c r="G12" i="3"/>
  <c r="H11" i="3"/>
  <c r="G11" i="3"/>
  <c r="H10" i="3"/>
  <c r="G10" i="3"/>
  <c r="H9" i="3"/>
  <c r="G9" i="3"/>
  <c r="H8" i="3"/>
  <c r="G8" i="3"/>
  <c r="H7" i="3"/>
  <c r="G7" i="3"/>
  <c r="C34" i="2"/>
  <c r="E34" i="2" s="1"/>
  <c r="C33" i="2"/>
  <c r="E33" i="2" s="1"/>
  <c r="H28" i="2"/>
  <c r="D28" i="2"/>
  <c r="L27" i="2"/>
  <c r="K27" i="2"/>
  <c r="J27" i="2"/>
  <c r="I27" i="2"/>
  <c r="H27" i="2"/>
  <c r="F27" i="2"/>
  <c r="D27" i="2"/>
  <c r="C27" i="2"/>
  <c r="G27" i="2" s="1"/>
  <c r="L26" i="2"/>
  <c r="K26" i="2"/>
  <c r="J26" i="2"/>
  <c r="I26" i="2"/>
  <c r="H26" i="2"/>
  <c r="F26" i="2"/>
  <c r="D26" i="2"/>
  <c r="C26" i="2"/>
  <c r="E26" i="2" s="1"/>
  <c r="C19" i="2"/>
  <c r="C18" i="2"/>
  <c r="D12" i="2"/>
  <c r="H8" i="2"/>
  <c r="K28" i="2"/>
  <c r="I28" i="2"/>
  <c r="C35" i="2"/>
  <c r="E35" i="2" s="1"/>
  <c r="B12" i="2"/>
  <c r="H12" i="2" l="1"/>
  <c r="D19" i="2"/>
  <c r="G26" i="2"/>
  <c r="D18" i="2"/>
  <c r="F12" i="2"/>
  <c r="F28" i="2"/>
  <c r="E27" i="2"/>
  <c r="B8" i="2"/>
  <c r="C28" i="2"/>
  <c r="E28" i="2" s="1"/>
  <c r="G28" i="2" l="1"/>
</calcChain>
</file>

<file path=xl/sharedStrings.xml><?xml version="1.0" encoding="utf-8"?>
<sst xmlns="http://schemas.openxmlformats.org/spreadsheetml/2006/main" count="211" uniqueCount="134">
  <si>
    <t>REPORTE DE PERFORMANCE</t>
  </si>
  <si>
    <t>Campaña de Audio · Floratil · Axon Pharma</t>
  </si>
  <si>
    <t>Plataforma</t>
  </si>
  <si>
    <t>Spotify Ads</t>
  </si>
  <si>
    <t>Formato</t>
  </si>
  <si>
    <t>Audio · Everywhere</t>
  </si>
  <si>
    <t>País</t>
  </si>
  <si>
    <t>Colombia (CO)</t>
  </si>
  <si>
    <t>Periodo</t>
  </si>
  <si>
    <t>21 jul 2026 – 11 ago 2026 (campaña activa, extendida hasta el 1 sep 2026)</t>
  </si>
  <si>
    <t>Moneda</t>
  </si>
  <si>
    <t>USD</t>
  </si>
  <si>
    <t>Cliente</t>
  </si>
  <si>
    <t>Axon Pharma – Floratil</t>
  </si>
  <si>
    <t>Preparado por Entravision · Spotify Ads Manager</t>
  </si>
  <si>
    <t>DATOS BASE (fuente: exports Spotify Ads Manager, jul-ago 2026)</t>
  </si>
  <si>
    <t>RESUMEN EJECUTIVO — FLORATIL CO</t>
  </si>
  <si>
    <t>Mes</t>
  </si>
  <si>
    <t>Impresiones</t>
  </si>
  <si>
    <t>Alcance</t>
  </si>
  <si>
    <t>Clics</t>
  </si>
  <si>
    <t>Consumo (USD)</t>
  </si>
  <si>
    <t>Audio Starts</t>
  </si>
  <si>
    <t>Reproducciones 25%</t>
  </si>
  <si>
    <t>Reproducciones 50%</t>
  </si>
  <si>
    <t>Reproducciones 75%</t>
  </si>
  <si>
    <t>Reproducciones 100%</t>
  </si>
  <si>
    <t>Campaña de Audio en Spotify Ads · Julio–Agosto 2026 · Colombia · Moneda: USD</t>
  </si>
  <si>
    <t>Julio</t>
  </si>
  <si>
    <t>Agosto</t>
  </si>
  <si>
    <t>Indicadores clave — Consolidado Julio + Agosto</t>
  </si>
  <si>
    <t>Total</t>
  </si>
  <si>
    <t>IMPRESIONES</t>
  </si>
  <si>
    <t>ALCANCE</t>
  </si>
  <si>
    <t>FRECUENCIA</t>
  </si>
  <si>
    <t>CLICS</t>
  </si>
  <si>
    <t>Impresiones / Alcance</t>
  </si>
  <si>
    <t>CTR%</t>
  </si>
  <si>
    <t>CONSUMO (USD)</t>
  </si>
  <si>
    <t>AUDIO STARTS</t>
  </si>
  <si>
    <t>COMPLETION RATE</t>
  </si>
  <si>
    <t>Clics / Impresiones</t>
  </si>
  <si>
    <t>Escuchas 100% / Starts</t>
  </si>
  <si>
    <t>Alcance por mes y consolidado</t>
  </si>
  <si>
    <t>Alcance (usuarios únicos)</t>
  </si>
  <si>
    <t>% del total</t>
  </si>
  <si>
    <t>Julio 2026</t>
  </si>
  <si>
    <t>Agosto 2026</t>
  </si>
  <si>
    <t>Total consolidado</t>
  </si>
  <si>
    <t>Desempeño consolidado por mes</t>
  </si>
  <si>
    <t>Frecuencia</t>
  </si>
  <si>
    <t>Escuchas 25%</t>
  </si>
  <si>
    <t>Escuchas 50%</t>
  </si>
  <si>
    <t>Escuchas 75%</t>
  </si>
  <si>
    <t>Escuchas 100%</t>
  </si>
  <si>
    <t>Comparación vs. Benchmark de la plataforma (Audio Ads)</t>
  </si>
  <si>
    <t>CTR% Campaña</t>
  </si>
  <si>
    <t>Benchmark plataforma</t>
  </si>
  <si>
    <t>Veces por encima del benchmark</t>
  </si>
  <si>
    <t>Benchmark de referencia: 0.25% CTR promedio para campañas de Audio en la plataforma.</t>
  </si>
  <si>
    <t>DESEMPEÑO POR DÍA</t>
  </si>
  <si>
    <t>Impresiones, alcance, consumo, clics, CTR% y frecuencia diarios (21 jul – 11 ago 2026, UTC)</t>
  </si>
  <si>
    <t>Fecha</t>
  </si>
  <si>
    <t>Nota: no se reportan datos para el 2 y 3 de agosto (sin registro en la plataforma en ese lapso). El 23 de julio consolida dos registros del mismo día. Los totales diarios pueden diferir levemente de los totales oficiales de la plataforma (hoja Resumen) por ventanas de atribución; el alcance no es aditivo entre días por deduplicación de usuarios únicos.</t>
  </si>
  <si>
    <t>PERFORMANCE POR EDAD Y SEXO</t>
  </si>
  <si>
    <t>Consolidado julio + agosto 2026, ponderado por volumen real de cada mes</t>
  </si>
  <si>
    <t>Edad</t>
  </si>
  <si>
    <t>Segmento</t>
  </si>
  <si>
    <t>% Impresiones</t>
  </si>
  <si>
    <t>% Alcance*</t>
  </si>
  <si>
    <t>% Completion</t>
  </si>
  <si>
    <t>18-24</t>
  </si>
  <si>
    <t>25-34</t>
  </si>
  <si>
    <t>45+</t>
  </si>
  <si>
    <t>35-44</t>
  </si>
  <si>
    <t>*% Alcance = participación relativa dentro de este bloque (el alcance no es aditivo entre segmentos por deduplicación de usuarios únicos).</t>
  </si>
  <si>
    <t>Sexo</t>
  </si>
  <si>
    <t>Hombres</t>
  </si>
  <si>
    <t>Mujeres</t>
  </si>
  <si>
    <t>No binario</t>
  </si>
  <si>
    <t>PERFORMANCE POR GÉNERO MUSICAL, TONO Y ACTIVIDAD</t>
  </si>
  <si>
    <t>Top 10 categorías por impresiones · Consolidado julio + agosto 2026</t>
  </si>
  <si>
    <t>Género musical (Top 10)</t>
  </si>
  <si>
    <t>Latin</t>
  </si>
  <si>
    <t>Reggaeton</t>
  </si>
  <si>
    <t>Mexican</t>
  </si>
  <si>
    <t>Trap</t>
  </si>
  <si>
    <t>Hip hop</t>
  </si>
  <si>
    <t>Pop</t>
  </si>
  <si>
    <t>Latin Pop</t>
  </si>
  <si>
    <t>Theater</t>
  </si>
  <si>
    <t>Rock</t>
  </si>
  <si>
    <t>Electronica</t>
  </si>
  <si>
    <t>Tono (Top 10)</t>
  </si>
  <si>
    <t>Bittersweet</t>
  </si>
  <si>
    <t>Love</t>
  </si>
  <si>
    <t>Empowering</t>
  </si>
  <si>
    <t>Energetic</t>
  </si>
  <si>
    <t>Intense</t>
  </si>
  <si>
    <t>Happy</t>
  </si>
  <si>
    <t>Chill</t>
  </si>
  <si>
    <t>Spooky</t>
  </si>
  <si>
    <t>Nostalgic</t>
  </si>
  <si>
    <t>Relaxation</t>
  </si>
  <si>
    <t>Actividad y contexto (Top 10)</t>
  </si>
  <si>
    <t>Dancing</t>
  </si>
  <si>
    <t>Party</t>
  </si>
  <si>
    <t>Sport</t>
  </si>
  <si>
    <t>Singing</t>
  </si>
  <si>
    <t>Workout</t>
  </si>
  <si>
    <t>Outdoor</t>
  </si>
  <si>
    <t>Morning</t>
  </si>
  <si>
    <t>Cooking</t>
  </si>
  <si>
    <t>Summer</t>
  </si>
  <si>
    <t>Holiday</t>
  </si>
  <si>
    <t>PERFORMANCE POR DISPOSITIVO</t>
  </si>
  <si>
    <t>Consolidado julio + agosto 2026</t>
  </si>
  <si>
    <t>Tipo de dispositivo</t>
  </si>
  <si>
    <t>Teléfono (Phone)</t>
  </si>
  <si>
    <t>Computador (PC)</t>
  </si>
  <si>
    <t>CONCLUSIONES</t>
  </si>
  <si>
    <t>Principales hallazgos de la campaña de audio Floratil en Spotify Ads · Colombia</t>
  </si>
  <si>
    <t>La campaña está superando ampliamente el benchmark de la plataforma para audio (0,25% de CTR), alcanzando un CTR consolidado de 1,61%, es decir, está desempeñándose más de 6 veces por encima del estándar de la industria.</t>
  </si>
  <si>
    <t>El mes de agosto está mostrando una eficiencia aún mayor: el CTR está subiendo a 2,78%, más de 11 veces el benchmark, lo que indica que la extensión de la campaña está funcionando muy bien.</t>
  </si>
  <si>
    <t>El audio está reteniendo a la audiencia de forma sobresaliente: el 94,58% de las escuchas iniciadas están llegando al 100% de la reproducción, mostrando que el mensaje de Floratil está resonando y manteniendo la atención hasta el final.</t>
  </si>
  <si>
    <t>El público de 18 a 34 años está concentrando el 70,9% de las impresiones, confirmando que la campaña está conectando con el segmento más joven, mientras que el grupo de 45+ está mostrando el CTR más alto (2,58%), destacándose como una audiencia altamente receptiva.</t>
  </si>
  <si>
    <t>Los hombres están representando el 53,3% de las impresiones y las mujeres el 45,3%, evidenciando que la campaña está llegando de forma balanceada a ambos géneros.</t>
  </si>
  <si>
    <t>Los géneros musicales Latin y Reggaeton están liderando la distribución (22,3% y 20,3% de las impresiones respectivamente), mostrando que la selección de contexto musical está alineándose muy bien con los gustos del público colombiano.</t>
  </si>
  <si>
    <t>El tono 'Bittersweet' y 'Love' están dominando el consumo de contenido (20,8% y 17,1%), sugiriendo que los momentos emocionales están siendo el contexto más efectivo para conectar con la marca.</t>
  </si>
  <si>
    <t>La actividad 'Dancing' está generando el mayor volumen de impresiones (23,8%), seguida de 'Party' y 'Sport', reflejando que la campaña está acompañando momentos de alta energía y vida social.</t>
  </si>
  <si>
    <t>El dispositivo móvil (Phone) está concentrando el 99,5% de las impresiones, confirmando que la estrategia mobile-first de Spotify está siendo el canal principal para llegar a la audiencia.</t>
  </si>
  <si>
    <t>El desempeño diario está manteniéndose estable y consistente a lo largo de todo el periodo, sin caídas relevantes, lo que está demostrando una entrega saludable del presupuesto y un ritmo de pauta sostenido.</t>
  </si>
  <si>
    <t>Nota: el CTR de la plataforma de audio se ubica en un benchmark de referencia de 0,25%. Los porcentajes y cifras de esta hoja provienen de los datos consolidados de las hojas Resumen, Audiencia, Contenido y Dispositivo.</t>
  </si>
  <si>
    <t>La campaña está alcanzando ya a 434.754 usuarios únicos en Colombia (366.187 en julio y 94.613 adicionales en agosto), acumulando 623.465 impresiones y 631.911 escuchas de audio iniciadas.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</si>
</sst>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0\x"/>
  </numFmts>
  <fonts count="24" x14ac:knownFonts="1">
    <font>
      <sz val="11"/>
      <color theme="1"/>
      <name val="Calibri"/>
      <family val="2"/>
      <charset val="1"/>
    </font>
    <font>
      <i/>
      <sz val="8"/>
      <color rgb="FF5A5A5A"/>
      <name val="Arial"/>
      <charset val="1"/>
    </font>
    <font>
      <b/>
      <sz val="16"/>
      <color rgb="FFFFFFFF"/>
      <name val="Arial"/>
      <charset val="1"/>
    </font>
    <font>
      <b/>
      <sz val="8"/>
      <color rgb="FF5A5A5A"/>
      <name val="Arial"/>
      <charset val="1"/>
    </font>
    <font>
      <i/>
      <sz val="10"/>
      <color rgb="FF5A5A5A"/>
      <name val="Arial"/>
      <charset val="1"/>
    </font>
    <font>
      <b/>
      <sz val="11"/>
      <color rgb="FF168E42"/>
      <name val="Arial"/>
      <charset val="1"/>
    </font>
    <font>
      <b/>
      <sz val="9.5"/>
      <color rgb="FFFFFFFF"/>
      <name val="Arial"/>
      <charset val="1"/>
    </font>
    <font>
      <b/>
      <sz val="18"/>
      <color rgb="FF191414"/>
      <name val="Arial"/>
      <charset val="1"/>
    </font>
    <font>
      <b/>
      <sz val="10"/>
      <color rgb="FFFFFFFF"/>
      <name val="Arial"/>
      <charset val="1"/>
    </font>
    <font>
      <sz val="10"/>
      <color rgb="FF191414"/>
      <name val="Arial"/>
      <charset val="1"/>
    </font>
    <font>
      <b/>
      <sz val="10"/>
      <color rgb="FF191414"/>
      <name val="Arial"/>
      <charset val="1"/>
    </font>
    <font>
      <b/>
      <sz val="12"/>
      <color rgb="FFFFFFFF"/>
      <name val="Arial"/>
      <charset val="1"/>
    </font>
    <font>
      <b/>
      <sz val="15"/>
      <color rgb="FFFFFFFF"/>
      <name val="Arial"/>
      <charset val="1"/>
    </font>
    <font>
      <b/>
      <sz val="18"/>
      <color rgb="FFFFFFFF"/>
      <name val="Arial"/>
      <charset val="1"/>
    </font>
    <font>
      <b/>
      <sz val="14"/>
      <color rgb="FFFFFFFF"/>
      <name val="Arial"/>
      <charset val="1"/>
    </font>
    <font>
      <sz val="10.5"/>
      <color rgb="FF191414"/>
      <name val="Arial"/>
      <charset val="1"/>
    </font>
    <font>
      <i/>
      <sz val="8.5"/>
      <color rgb="FF5A5A5A"/>
      <name val="Arial"/>
      <charset val="1"/>
    </font>
    <font>
      <sz val="11"/>
      <name val="Calibri"/>
      <family val="2"/>
      <charset val="1"/>
    </font>
    <font>
      <b/>
      <sz val="26"/>
      <name val="Arial"/>
      <family val="2"/>
    </font>
    <font>
      <sz val="16"/>
      <name val="Arial"/>
      <family val="2"/>
    </font>
    <font>
      <b/>
      <sz val="10.5"/>
      <name val="Arial"/>
      <family val="2"/>
    </font>
    <font>
      <sz val="10.5"/>
      <name val="Arial"/>
      <family val="2"/>
    </font>
    <font>
      <i/>
      <sz val="9"/>
      <name val="Arial"/>
      <family val="2"/>
    </font>
    <font>
      <sz val="10.5"/>
      <color rgb="FF191414"/>
      <name val="Arial"/>
      <family val="2"/>
    </font>
  </fonts>
  <fills count="7">
    <fill>
      <patternFill patternType="none"/>
    </fill>
    <fill>
      <patternFill patternType="gray125"/>
    </fill>
    <fill>
      <patternFill patternType="solid">
        <fgColor rgb="FF191414"/>
        <bgColor rgb="FF000000"/>
      </patternFill>
    </fill>
    <fill>
      <patternFill patternType="solid">
        <fgColor rgb="FF168E42"/>
        <bgColor rgb="FF008080"/>
      </patternFill>
    </fill>
    <fill>
      <patternFill patternType="solid">
        <fgColor rgb="FFF5F5F5"/>
        <bgColor rgb="FFF9F9F9"/>
      </patternFill>
    </fill>
    <fill>
      <patternFill patternType="solid">
        <fgColor rgb="FF1DB954"/>
        <bgColor rgb="FF168E42"/>
      </patternFill>
    </fill>
    <fill>
      <patternFill patternType="solid">
        <fgColor theme="0"/>
        <bgColor rgb="FF0000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4">
    <xf numFmtId="0" fontId="0" fillId="0" borderId="0" xfId="0"/>
    <xf numFmtId="164" fontId="7" fillId="4" borderId="1" xfId="0" applyNumberFormat="1" applyFont="1" applyFill="1" applyBorder="1" applyAlignment="1">
      <alignment horizontal="center" vertical="center"/>
    </xf>
    <xf numFmtId="10" fontId="7" fillId="4" borderId="1" xfId="0" applyNumberFormat="1" applyFont="1" applyFill="1" applyBorder="1" applyAlignment="1">
      <alignment horizontal="center" vertical="center"/>
    </xf>
    <xf numFmtId="0" fontId="1" fillId="0" borderId="0" xfId="0" applyFont="1" applyAlignment="1">
      <alignment horizontal="center" vertical="center"/>
    </xf>
    <xf numFmtId="2" fontId="7" fillId="4" borderId="1" xfId="0" applyNumberFormat="1" applyFont="1" applyFill="1" applyBorder="1" applyAlignment="1">
      <alignment horizontal="center" vertical="center"/>
    </xf>
    <xf numFmtId="3" fontId="7" fillId="4" borderId="1" xfId="0" applyNumberFormat="1" applyFont="1" applyFill="1" applyBorder="1" applyAlignment="1">
      <alignment horizontal="center" vertical="center"/>
    </xf>
    <xf numFmtId="0" fontId="6" fillId="3" borderId="0" xfId="0" applyFont="1" applyFill="1" applyAlignment="1">
      <alignment horizontal="center" vertical="center"/>
    </xf>
    <xf numFmtId="0" fontId="5" fillId="0" borderId="0" xfId="0" applyFont="1" applyAlignment="1">
      <alignment horizontal="left" vertical="center" indent="1"/>
    </xf>
    <xf numFmtId="0" fontId="4" fillId="0" borderId="0" xfId="0" applyFont="1" applyAlignment="1">
      <alignment horizontal="left" vertical="center" indent="1"/>
    </xf>
    <xf numFmtId="0" fontId="2" fillId="2" borderId="0" xfId="0" applyFont="1" applyFill="1" applyAlignment="1">
      <alignment horizontal="left" vertical="center" indent="1"/>
    </xf>
    <xf numFmtId="0" fontId="1" fillId="0" borderId="0" xfId="0" applyFont="1"/>
    <xf numFmtId="0" fontId="3" fillId="0" borderId="0" xfId="0" applyFont="1"/>
    <xf numFmtId="0" fontId="8" fillId="2" borderId="1" xfId="0" applyFont="1" applyFill="1" applyBorder="1" applyAlignment="1">
      <alignment horizontal="center" vertical="center" wrapText="1"/>
    </xf>
    <xf numFmtId="0" fontId="9" fillId="0" borderId="1" xfId="0" applyFont="1" applyBorder="1" applyAlignment="1">
      <alignment horizontal="left" vertical="center"/>
    </xf>
    <xf numFmtId="3" fontId="9" fillId="0" borderId="1" xfId="0" applyNumberFormat="1" applyFont="1" applyBorder="1" applyAlignment="1">
      <alignment horizontal="center" vertical="center"/>
    </xf>
    <xf numFmtId="165" fontId="9" fillId="0" borderId="1" xfId="0" applyNumberFormat="1" applyFont="1" applyBorder="1" applyAlignment="1">
      <alignment horizontal="center" vertical="center"/>
    </xf>
    <xf numFmtId="0" fontId="10" fillId="4" borderId="1" xfId="0" applyFont="1" applyFill="1" applyBorder="1" applyAlignment="1">
      <alignment horizontal="left" vertical="center"/>
    </xf>
    <xf numFmtId="3" fontId="10" fillId="4" borderId="1" xfId="0" applyNumberFormat="1" applyFont="1" applyFill="1" applyBorder="1" applyAlignment="1">
      <alignment horizontal="center" vertical="center"/>
    </xf>
    <xf numFmtId="165" fontId="10" fillId="4" borderId="1" xfId="0" applyNumberFormat="1" applyFont="1" applyFill="1" applyBorder="1" applyAlignment="1">
      <alignment horizontal="center" vertical="center"/>
    </xf>
    <xf numFmtId="2" fontId="9" fillId="0" borderId="1" xfId="0" applyNumberFormat="1" applyFont="1" applyBorder="1" applyAlignment="1">
      <alignment horizontal="center" vertical="center"/>
    </xf>
    <xf numFmtId="10"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2" fontId="10" fillId="4" borderId="1" xfId="0" applyNumberFormat="1" applyFont="1" applyFill="1" applyBorder="1" applyAlignment="1">
      <alignment horizontal="center" vertical="center"/>
    </xf>
    <xf numFmtId="10" fontId="10" fillId="4" borderId="1" xfId="0" applyNumberFormat="1" applyFont="1" applyFill="1" applyBorder="1" applyAlignment="1">
      <alignment horizontal="center" vertical="center"/>
    </xf>
    <xf numFmtId="164" fontId="10" fillId="4" borderId="1" xfId="0" applyNumberFormat="1" applyFont="1" applyFill="1" applyBorder="1" applyAlignment="1">
      <alignment horizontal="center" vertical="center"/>
    </xf>
    <xf numFmtId="166" fontId="9" fillId="0" borderId="1" xfId="0" applyNumberFormat="1" applyFont="1" applyBorder="1" applyAlignment="1">
      <alignment horizontal="center" vertical="center"/>
    </xf>
    <xf numFmtId="166" fontId="10" fillId="4" borderId="1" xfId="0" applyNumberFormat="1" applyFont="1" applyFill="1" applyBorder="1" applyAlignment="1">
      <alignment horizontal="center" vertical="center"/>
    </xf>
    <xf numFmtId="14" fontId="9" fillId="0" borderId="1" xfId="0" applyNumberFormat="1" applyFont="1" applyBorder="1" applyAlignment="1">
      <alignment horizontal="center" vertical="center"/>
    </xf>
    <xf numFmtId="0" fontId="10" fillId="0" borderId="1" xfId="0" applyFont="1" applyBorder="1" applyAlignment="1">
      <alignment horizontal="left" vertical="center"/>
    </xf>
    <xf numFmtId="0" fontId="1" fillId="0" borderId="0" xfId="0" applyFont="1"/>
    <xf numFmtId="0" fontId="11" fillId="3" borderId="0" xfId="0" applyFont="1" applyFill="1" applyAlignment="1">
      <alignment horizontal="left" vertical="center" indent="1"/>
    </xf>
    <xf numFmtId="0" fontId="12" fillId="2" borderId="0" xfId="0" applyFont="1" applyFill="1" applyAlignment="1">
      <alignment horizontal="left" vertical="center" indent="1"/>
    </xf>
    <xf numFmtId="0" fontId="13" fillId="2" borderId="0" xfId="0" applyFont="1" applyFill="1" applyAlignment="1">
      <alignment horizontal="left" vertical="center" indent="1"/>
    </xf>
    <xf numFmtId="0" fontId="14" fillId="5" borderId="1" xfId="0" applyFont="1" applyFill="1" applyBorder="1" applyAlignment="1">
      <alignment horizontal="center" vertical="center"/>
    </xf>
    <xf numFmtId="0" fontId="15" fillId="4" borderId="1" xfId="0" applyFont="1" applyFill="1" applyBorder="1" applyAlignment="1">
      <alignment horizontal="left" vertical="center" wrapText="1" indent="1"/>
    </xf>
    <xf numFmtId="0" fontId="16" fillId="0" borderId="0" xfId="0" applyFont="1" applyAlignment="1">
      <alignment horizontal="left" vertical="center" wrapText="1"/>
    </xf>
    <xf numFmtId="0" fontId="17" fillId="6" borderId="0" xfId="0" applyFont="1" applyFill="1"/>
    <xf numFmtId="0" fontId="17" fillId="0" borderId="0" xfId="0" applyFont="1"/>
    <xf numFmtId="0" fontId="18" fillId="6" borderId="0" xfId="0" applyFont="1" applyFill="1" applyAlignment="1">
      <alignment horizontal="center" vertical="center"/>
    </xf>
    <xf numFmtId="0" fontId="19" fillId="6" borderId="0" xfId="0" applyFont="1" applyFill="1" applyAlignment="1">
      <alignment horizontal="center" vertical="center"/>
    </xf>
    <xf numFmtId="0" fontId="20" fillId="6" borderId="0" xfId="0" applyFont="1" applyFill="1" applyAlignment="1">
      <alignment horizontal="right" vertical="center"/>
    </xf>
    <xf numFmtId="0" fontId="21" fillId="6" borderId="0" xfId="0" applyFont="1" applyFill="1" applyAlignment="1">
      <alignment horizontal="left" vertical="center"/>
    </xf>
    <xf numFmtId="0" fontId="22" fillId="6" borderId="0" xfId="0" applyFont="1" applyFill="1" applyAlignment="1">
      <alignment horizontal="center" vertical="center"/>
    </xf>
    <xf numFmtId="0" fontId="23" fillId="4"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78787"/>
      <rgbColor rgb="FF9999FF"/>
      <rgbColor rgb="FF993366"/>
      <rgbColor rgb="FFF9F9F9"/>
      <rgbColor rgb="FFF5F5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1DB954"/>
      <rgbColor rgb="FF99CC00"/>
      <rgbColor rgb="FFFFCC00"/>
      <rgbColor rgb="FFFF9900"/>
      <rgbColor rgb="FFFF6600"/>
      <rgbColor rgb="FF5A5A5A"/>
      <rgbColor rgb="FF969696"/>
      <rgbColor rgb="FF003366"/>
      <rgbColor rgb="FF168E42"/>
      <rgbColor rgb="FF191414"/>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CTR% de la campaña vs. Benchmark de la plataforma</a:t>
            </a:r>
          </a:p>
        </c:rich>
      </c:tx>
      <c:overlay val="0"/>
      <c:spPr>
        <a:noFill/>
        <a:ln w="0">
          <a:noFill/>
        </a:ln>
      </c:spPr>
    </c:title>
    <c:autoTitleDeleted val="0"/>
    <c:plotArea>
      <c:layout/>
      <c:barChart>
        <c:barDir val="col"/>
        <c:grouping val="clustered"/>
        <c:varyColors val="0"/>
        <c:ser>
          <c:idx val="0"/>
          <c:order val="0"/>
          <c:tx>
            <c:strRef>
              <c:f>Resumen!$C$32</c:f>
              <c:strCache>
                <c:ptCount val="1"/>
                <c:pt idx="0">
                  <c:v>CTR% Campaña</c:v>
                </c:pt>
              </c:strCache>
            </c:strRef>
          </c:tx>
          <c:spPr>
            <a:solidFill>
              <a:srgbClr val="1DB95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Resumen!$B$33:$B$35</c:f>
              <c:strCache>
                <c:ptCount val="3"/>
                <c:pt idx="0">
                  <c:v>Julio</c:v>
                </c:pt>
                <c:pt idx="1">
                  <c:v>Agosto</c:v>
                </c:pt>
                <c:pt idx="2">
                  <c:v>Total</c:v>
                </c:pt>
              </c:strCache>
            </c:strRef>
          </c:cat>
          <c:val>
            <c:numRef>
              <c:f>Resumen!$C$33:$C$35</c:f>
              <c:numCache>
                <c:formatCode>0.00%</c:formatCode>
                <c:ptCount val="3"/>
                <c:pt idx="0">
                  <c:v>1.1975684943368778E-2</c:v>
                </c:pt>
                <c:pt idx="1">
                  <c:v>2.7852583746571822E-2</c:v>
                </c:pt>
                <c:pt idx="2">
                  <c:v>1.608911486611117E-2</c:v>
                </c:pt>
              </c:numCache>
            </c:numRef>
          </c:val>
          <c:extLst>
            <c:ext xmlns:c16="http://schemas.microsoft.com/office/drawing/2014/chart" uri="{C3380CC4-5D6E-409C-BE32-E72D297353CC}">
              <c16:uniqueId val="{00000000-68E0-44F9-B3FC-344D64F1D211}"/>
            </c:ext>
          </c:extLst>
        </c:ser>
        <c:ser>
          <c:idx val="1"/>
          <c:order val="1"/>
          <c:tx>
            <c:strRef>
              <c:f>Resumen!$D$32</c:f>
              <c:strCache>
                <c:ptCount val="1"/>
                <c:pt idx="0">
                  <c:v>Benchmark plataforma</c:v>
                </c:pt>
              </c:strCache>
            </c:strRef>
          </c:tx>
          <c:spPr>
            <a:solidFill>
              <a:srgbClr val="B3B3B3"/>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Resumen!$B$33:$B$35</c:f>
              <c:strCache>
                <c:ptCount val="3"/>
                <c:pt idx="0">
                  <c:v>Julio</c:v>
                </c:pt>
                <c:pt idx="1">
                  <c:v>Agosto</c:v>
                </c:pt>
                <c:pt idx="2">
                  <c:v>Total</c:v>
                </c:pt>
              </c:strCache>
            </c:strRef>
          </c:cat>
          <c:val>
            <c:numRef>
              <c:f>Resumen!$D$33:$D$35</c:f>
              <c:numCache>
                <c:formatCode>0.00%</c:formatCode>
                <c:ptCount val="3"/>
                <c:pt idx="0">
                  <c:v>2.5000000000000001E-3</c:v>
                </c:pt>
                <c:pt idx="1">
                  <c:v>2.5000000000000001E-3</c:v>
                </c:pt>
                <c:pt idx="2">
                  <c:v>2.5000000000000001E-3</c:v>
                </c:pt>
              </c:numCache>
            </c:numRef>
          </c:val>
          <c:extLst>
            <c:ext xmlns:c16="http://schemas.microsoft.com/office/drawing/2014/chart" uri="{C3380CC4-5D6E-409C-BE32-E72D297353CC}">
              <c16:uniqueId val="{00000001-68E0-44F9-B3FC-344D64F1D211}"/>
            </c:ext>
          </c:extLst>
        </c:ser>
        <c:dLbls>
          <c:showLegendKey val="0"/>
          <c:showVal val="0"/>
          <c:showCatName val="0"/>
          <c:showSerName val="0"/>
          <c:showPercent val="0"/>
          <c:showBubbleSize val="0"/>
        </c:dLbls>
        <c:gapWidth val="150"/>
        <c:axId val="44364239"/>
        <c:axId val="73465396"/>
      </c:barChart>
      <c:catAx>
        <c:axId val="443642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73465396"/>
        <c:crosses val="autoZero"/>
        <c:auto val="1"/>
        <c:lblAlgn val="ctr"/>
        <c:lblOffset val="100"/>
        <c:noMultiLvlLbl val="0"/>
      </c:catAx>
      <c:valAx>
        <c:axId val="734653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CL" sz="1000" b="1" strike="noStrike" spc="-1">
                    <a:solidFill>
                      <a:srgbClr val="000000"/>
                    </a:solidFill>
                    <a:latin typeface="Calibri"/>
                  </a:rPr>
                  <a:t>CTR%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4436423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Impresiones y Clics por día</a:t>
            </a:r>
          </a:p>
        </c:rich>
      </c:tx>
      <c:overlay val="0"/>
      <c:spPr>
        <a:noFill/>
        <a:ln w="0">
          <a:noFill/>
        </a:ln>
      </c:spPr>
    </c:title>
    <c:autoTitleDeleted val="0"/>
    <c:plotArea>
      <c:layout/>
      <c:lineChart>
        <c:grouping val="standard"/>
        <c:varyColors val="0"/>
        <c:ser>
          <c:idx val="0"/>
          <c:order val="0"/>
          <c:tx>
            <c:strRef>
              <c:f>'Desempeño Diario'!$C$6</c:f>
              <c:strCache>
                <c:ptCount val="1"/>
                <c:pt idx="0">
                  <c:v>Impresiones</c:v>
                </c:pt>
              </c:strCache>
            </c:strRef>
          </c:tx>
          <c:spPr>
            <a:ln w="24840">
              <a:solidFill>
                <a:srgbClr val="1DB954"/>
              </a:solidFill>
              <a:round/>
            </a:ln>
          </c:spPr>
          <c:marker>
            <c:symbol val="none"/>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'Desempeño Diario'!$B$7:$B$26</c:f>
              <c:numCache>
                <c:formatCode>m/d/yyyy</c:formatCode>
                <c:ptCount val="20"/>
                <c:pt idx="0">
                  <c:v>46224</c:v>
                </c:pt>
                <c:pt idx="1">
                  <c:v>46225</c:v>
                </c:pt>
                <c:pt idx="2">
                  <c:v>46226</c:v>
                </c:pt>
                <c:pt idx="3">
                  <c:v>46227</c:v>
                </c:pt>
                <c:pt idx="4">
                  <c:v>46228</c:v>
                </c:pt>
                <c:pt idx="5">
                  <c:v>46229</c:v>
                </c:pt>
                <c:pt idx="6">
                  <c:v>46230</c:v>
                </c:pt>
                <c:pt idx="7">
                  <c:v>46231</c:v>
                </c:pt>
                <c:pt idx="8">
                  <c:v>46232</c:v>
                </c:pt>
                <c:pt idx="9">
                  <c:v>46233</c:v>
                </c:pt>
                <c:pt idx="10">
                  <c:v>46234</c:v>
                </c:pt>
                <c:pt idx="11">
                  <c:v>46235</c:v>
                </c:pt>
                <c:pt idx="12">
                  <c:v>46238</c:v>
                </c:pt>
                <c:pt idx="13">
                  <c:v>46239</c:v>
                </c:pt>
                <c:pt idx="14">
                  <c:v>46240</c:v>
                </c:pt>
                <c:pt idx="15">
                  <c:v>46241</c:v>
                </c:pt>
                <c:pt idx="16">
                  <c:v>46242</c:v>
                </c:pt>
                <c:pt idx="17">
                  <c:v>46243</c:v>
                </c:pt>
                <c:pt idx="18">
                  <c:v>46244</c:v>
                </c:pt>
                <c:pt idx="19">
                  <c:v>46245</c:v>
                </c:pt>
              </c:numCache>
            </c:numRef>
          </c:cat>
          <c:val>
            <c:numRef>
              <c:f>'Desempeño Diario'!$C$7:$C$26</c:f>
              <c:numCache>
                <c:formatCode>#,##0</c:formatCode>
                <c:ptCount val="20"/>
                <c:pt idx="0">
                  <c:v>21975</c:v>
                </c:pt>
                <c:pt idx="1">
                  <c:v>63004</c:v>
                </c:pt>
                <c:pt idx="2">
                  <c:v>87452</c:v>
                </c:pt>
                <c:pt idx="3">
                  <c:v>15880</c:v>
                </c:pt>
                <c:pt idx="4">
                  <c:v>40502</c:v>
                </c:pt>
                <c:pt idx="5">
                  <c:v>44920</c:v>
                </c:pt>
                <c:pt idx="6">
                  <c:v>38604</c:v>
                </c:pt>
                <c:pt idx="7">
                  <c:v>42030</c:v>
                </c:pt>
                <c:pt idx="8">
                  <c:v>38221</c:v>
                </c:pt>
                <c:pt idx="9">
                  <c:v>36085</c:v>
                </c:pt>
                <c:pt idx="10">
                  <c:v>32651</c:v>
                </c:pt>
                <c:pt idx="11">
                  <c:v>612</c:v>
                </c:pt>
                <c:pt idx="12">
                  <c:v>24374</c:v>
                </c:pt>
                <c:pt idx="13">
                  <c:v>21363</c:v>
                </c:pt>
                <c:pt idx="14">
                  <c:v>20996</c:v>
                </c:pt>
                <c:pt idx="15">
                  <c:v>21176</c:v>
                </c:pt>
                <c:pt idx="16">
                  <c:v>21486</c:v>
                </c:pt>
                <c:pt idx="17">
                  <c:v>19600</c:v>
                </c:pt>
                <c:pt idx="18">
                  <c:v>14893</c:v>
                </c:pt>
                <c:pt idx="19">
                  <c:v>17983</c:v>
                </c:pt>
              </c:numCache>
            </c:numRef>
          </c:val>
          <c:smooth val="0"/>
          <c:extLst>
            <c:ext xmlns:c16="http://schemas.microsoft.com/office/drawing/2014/chart" uri="{C3380CC4-5D6E-409C-BE32-E72D297353CC}">
              <c16:uniqueId val="{00000000-3FC3-49B8-95DE-3F9D08591F52}"/>
            </c:ext>
          </c:extLst>
        </c:ser>
        <c:dLbls>
          <c:showLegendKey val="0"/>
          <c:showVal val="0"/>
          <c:showCatName val="0"/>
          <c:showSerName val="0"/>
          <c:showPercent val="0"/>
          <c:showBubbleSize val="0"/>
        </c:dLbls>
        <c:hiLowLines>
          <c:spPr>
            <a:ln w="0">
              <a:noFill/>
            </a:ln>
          </c:spPr>
        </c:hiLowLines>
        <c:marker val="1"/>
        <c:smooth val="0"/>
        <c:axId val="32704875"/>
        <c:axId val="79254868"/>
      </c:lineChart>
      <c:lineChart>
        <c:grouping val="standard"/>
        <c:varyColors val="0"/>
        <c:ser>
          <c:idx val="1"/>
          <c:order val="1"/>
          <c:tx>
            <c:strRef>
              <c:f>'Desempeño Diario'!$F$6</c:f>
              <c:strCache>
                <c:ptCount val="1"/>
                <c:pt idx="0">
                  <c:v>Clics</c:v>
                </c:pt>
              </c:strCache>
            </c:strRef>
          </c:tx>
          <c:spPr>
            <a:ln w="20160">
              <a:solidFill>
                <a:srgbClr val="191414"/>
              </a:solidFill>
              <a:round/>
            </a:ln>
          </c:spPr>
          <c:marker>
            <c:symbol val="none"/>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'Desempeño Diario'!$B$7:$B$26</c:f>
              <c:numCache>
                <c:formatCode>m/d/yyyy</c:formatCode>
                <c:ptCount val="20"/>
                <c:pt idx="0">
                  <c:v>46224</c:v>
                </c:pt>
                <c:pt idx="1">
                  <c:v>46225</c:v>
                </c:pt>
                <c:pt idx="2">
                  <c:v>46226</c:v>
                </c:pt>
                <c:pt idx="3">
                  <c:v>46227</c:v>
                </c:pt>
                <c:pt idx="4">
                  <c:v>46228</c:v>
                </c:pt>
                <c:pt idx="5">
                  <c:v>46229</c:v>
                </c:pt>
                <c:pt idx="6">
                  <c:v>46230</c:v>
                </c:pt>
                <c:pt idx="7">
                  <c:v>46231</c:v>
                </c:pt>
                <c:pt idx="8">
                  <c:v>46232</c:v>
                </c:pt>
                <c:pt idx="9">
                  <c:v>46233</c:v>
                </c:pt>
                <c:pt idx="10">
                  <c:v>46234</c:v>
                </c:pt>
                <c:pt idx="11">
                  <c:v>46235</c:v>
                </c:pt>
                <c:pt idx="12">
                  <c:v>46238</c:v>
                </c:pt>
                <c:pt idx="13">
                  <c:v>46239</c:v>
                </c:pt>
                <c:pt idx="14">
                  <c:v>46240</c:v>
                </c:pt>
                <c:pt idx="15">
                  <c:v>46241</c:v>
                </c:pt>
                <c:pt idx="16">
                  <c:v>46242</c:v>
                </c:pt>
                <c:pt idx="17">
                  <c:v>46243</c:v>
                </c:pt>
                <c:pt idx="18">
                  <c:v>46244</c:v>
                </c:pt>
                <c:pt idx="19">
                  <c:v>46245</c:v>
                </c:pt>
              </c:numCache>
            </c:numRef>
          </c:cat>
          <c:val>
            <c:numRef>
              <c:f>'Desempeño Diario'!$F$7:$F$26</c:f>
              <c:numCache>
                <c:formatCode>#,##0</c:formatCode>
                <c:ptCount val="20"/>
                <c:pt idx="0">
                  <c:v>181</c:v>
                </c:pt>
                <c:pt idx="1">
                  <c:v>511</c:v>
                </c:pt>
                <c:pt idx="2">
                  <c:v>594</c:v>
                </c:pt>
                <c:pt idx="3">
                  <c:v>72</c:v>
                </c:pt>
                <c:pt idx="4">
                  <c:v>310</c:v>
                </c:pt>
                <c:pt idx="5">
                  <c:v>491</c:v>
                </c:pt>
                <c:pt idx="6">
                  <c:v>655</c:v>
                </c:pt>
                <c:pt idx="7">
                  <c:v>604</c:v>
                </c:pt>
                <c:pt idx="8">
                  <c:v>800</c:v>
                </c:pt>
                <c:pt idx="9">
                  <c:v>635</c:v>
                </c:pt>
                <c:pt idx="10">
                  <c:v>661</c:v>
                </c:pt>
                <c:pt idx="11">
                  <c:v>18</c:v>
                </c:pt>
                <c:pt idx="12">
                  <c:v>499</c:v>
                </c:pt>
                <c:pt idx="13">
                  <c:v>544</c:v>
                </c:pt>
                <c:pt idx="14">
                  <c:v>445</c:v>
                </c:pt>
                <c:pt idx="15">
                  <c:v>571</c:v>
                </c:pt>
                <c:pt idx="16">
                  <c:v>622</c:v>
                </c:pt>
                <c:pt idx="17">
                  <c:v>666</c:v>
                </c:pt>
                <c:pt idx="18">
                  <c:v>527</c:v>
                </c:pt>
                <c:pt idx="19">
                  <c:v>627</c:v>
                </c:pt>
              </c:numCache>
            </c:numRef>
          </c:val>
          <c:smooth val="0"/>
          <c:extLst>
            <c:ext xmlns:c16="http://schemas.microsoft.com/office/drawing/2014/chart" uri="{C3380CC4-5D6E-409C-BE32-E72D297353CC}">
              <c16:uniqueId val="{00000001-3FC3-49B8-95DE-3F9D08591F52}"/>
            </c:ext>
          </c:extLst>
        </c:ser>
        <c:dLbls>
          <c:showLegendKey val="0"/>
          <c:showVal val="0"/>
          <c:showCatName val="0"/>
          <c:showSerName val="0"/>
          <c:showPercent val="0"/>
          <c:showBubbleSize val="0"/>
        </c:dLbls>
        <c:hiLowLines>
          <c:spPr>
            <a:ln w="0">
              <a:noFill/>
            </a:ln>
          </c:spPr>
        </c:hiLowLines>
        <c:marker val="1"/>
        <c:smooth val="0"/>
        <c:axId val="21215527"/>
        <c:axId val="89745652"/>
      </c:lineChart>
      <c:dateAx>
        <c:axId val="32704875"/>
        <c:scaling>
          <c:orientation val="minMax"/>
        </c:scaling>
        <c:delete val="0"/>
        <c:axPos val="b"/>
        <c:numFmt formatCode="dd/mm" sourceLinked="0"/>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s-CL"/>
          </a:p>
        </c:txPr>
        <c:crossAx val="79254868"/>
        <c:crosses val="autoZero"/>
        <c:auto val="1"/>
        <c:lblOffset val="100"/>
        <c:baseTimeUnit val="days"/>
      </c:dateAx>
      <c:valAx>
        <c:axId val="7925486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CL" sz="1000" b="1" strike="noStrike" spc="-1">
                    <a:solidFill>
                      <a:srgbClr val="000000"/>
                    </a:solidFill>
                    <a:latin typeface="Calibri"/>
                  </a:rPr>
                  <a:t>Impresiones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32704875"/>
        <c:crosses val="autoZero"/>
        <c:crossBetween val="between"/>
      </c:valAx>
      <c:dateAx>
        <c:axId val="21215527"/>
        <c:scaling>
          <c:orientation val="minMax"/>
        </c:scaling>
        <c:delete val="0"/>
        <c:axPos val="b"/>
        <c:numFmt formatCode="dd/mm" sourceLinked="0"/>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s-CL"/>
          </a:p>
        </c:txPr>
        <c:crossAx val="89745652"/>
        <c:crosses val="autoZero"/>
        <c:auto val="1"/>
        <c:lblOffset val="100"/>
        <c:baseTimeUnit val="days"/>
      </c:dateAx>
      <c:valAx>
        <c:axId val="89745652"/>
        <c:scaling>
          <c:orientation val="minMax"/>
        </c:scaling>
        <c:delete val="0"/>
        <c:axPos val="r"/>
        <c:title>
          <c:tx>
            <c:rich>
              <a:bodyPr rot="-5400000"/>
              <a:lstStyle/>
              <a:p>
                <a:pPr>
                  <a:defRPr sz="1000" b="1" strike="noStrike" spc="-1">
                    <a:solidFill>
                      <a:srgbClr val="000000"/>
                    </a:solidFill>
                    <a:latin typeface="Calibri"/>
                  </a:defRPr>
                </a:pPr>
                <a:r>
                  <a:rPr lang="es-CL" sz="1000" b="1" strike="noStrike" spc="-1">
                    <a:solidFill>
                      <a:srgbClr val="000000"/>
                    </a:solidFill>
                    <a:latin typeface="Calibri"/>
                  </a:rPr>
                  <a:t>Clics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1215527"/>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CTR% diario vs. Benchmark (0.25%)</a:t>
            </a:r>
          </a:p>
        </c:rich>
      </c:tx>
      <c:overlay val="0"/>
      <c:spPr>
        <a:noFill/>
        <a:ln w="0">
          <a:noFill/>
        </a:ln>
      </c:spPr>
    </c:title>
    <c:autoTitleDeleted val="0"/>
    <c:plotArea>
      <c:layout/>
      <c:lineChart>
        <c:grouping val="standard"/>
        <c:varyColors val="0"/>
        <c:ser>
          <c:idx val="0"/>
          <c:order val="0"/>
          <c:tx>
            <c:strRef>
              <c:f>'Desempeño Diario'!$G$6</c:f>
              <c:strCache>
                <c:ptCount val="1"/>
                <c:pt idx="0">
                  <c:v>CTR%</c:v>
                </c:pt>
              </c:strCache>
            </c:strRef>
          </c:tx>
          <c:spPr>
            <a:ln w="24840">
              <a:solidFill>
                <a:srgbClr val="1DB954"/>
              </a:solidFill>
              <a:round/>
            </a:ln>
          </c:spPr>
          <c:marker>
            <c:symbol val="none"/>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'Desempeño Diario'!$B$7:$B$26</c:f>
              <c:numCache>
                <c:formatCode>m/d/yyyy</c:formatCode>
                <c:ptCount val="20"/>
                <c:pt idx="0">
                  <c:v>46224</c:v>
                </c:pt>
                <c:pt idx="1">
                  <c:v>46225</c:v>
                </c:pt>
                <c:pt idx="2">
                  <c:v>46226</c:v>
                </c:pt>
                <c:pt idx="3">
                  <c:v>46227</c:v>
                </c:pt>
                <c:pt idx="4">
                  <c:v>46228</c:v>
                </c:pt>
                <c:pt idx="5">
                  <c:v>46229</c:v>
                </c:pt>
                <c:pt idx="6">
                  <c:v>46230</c:v>
                </c:pt>
                <c:pt idx="7">
                  <c:v>46231</c:v>
                </c:pt>
                <c:pt idx="8">
                  <c:v>46232</c:v>
                </c:pt>
                <c:pt idx="9">
                  <c:v>46233</c:v>
                </c:pt>
                <c:pt idx="10">
                  <c:v>46234</c:v>
                </c:pt>
                <c:pt idx="11">
                  <c:v>46235</c:v>
                </c:pt>
                <c:pt idx="12">
                  <c:v>46238</c:v>
                </c:pt>
                <c:pt idx="13">
                  <c:v>46239</c:v>
                </c:pt>
                <c:pt idx="14">
                  <c:v>46240</c:v>
                </c:pt>
                <c:pt idx="15">
                  <c:v>46241</c:v>
                </c:pt>
                <c:pt idx="16">
                  <c:v>46242</c:v>
                </c:pt>
                <c:pt idx="17">
                  <c:v>46243</c:v>
                </c:pt>
                <c:pt idx="18">
                  <c:v>46244</c:v>
                </c:pt>
                <c:pt idx="19">
                  <c:v>46245</c:v>
                </c:pt>
              </c:numCache>
            </c:numRef>
          </c:cat>
          <c:val>
            <c:numRef>
              <c:f>'Desempeño Diario'!$G$7:$G$26</c:f>
              <c:numCache>
                <c:formatCode>0.00%</c:formatCode>
                <c:ptCount val="20"/>
                <c:pt idx="0">
                  <c:v>8.2366325369738341E-3</c:v>
                </c:pt>
                <c:pt idx="1">
                  <c:v>8.1105961526252296E-3</c:v>
                </c:pt>
                <c:pt idx="2">
                  <c:v>6.7922974889082013E-3</c:v>
                </c:pt>
                <c:pt idx="3">
                  <c:v>4.5340050377833752E-3</c:v>
                </c:pt>
                <c:pt idx="4">
                  <c:v>7.6539430151597448E-3</c:v>
                </c:pt>
                <c:pt idx="5">
                  <c:v>1.0930543187889582E-2</c:v>
                </c:pt>
                <c:pt idx="6">
                  <c:v>1.6967153662832867E-2</c:v>
                </c:pt>
                <c:pt idx="7">
                  <c:v>1.4370687604092314E-2</c:v>
                </c:pt>
                <c:pt idx="8">
                  <c:v>2.0930901860233903E-2</c:v>
                </c:pt>
                <c:pt idx="9">
                  <c:v>1.7597339614798393E-2</c:v>
                </c:pt>
                <c:pt idx="10">
                  <c:v>2.0244402927934824E-2</c:v>
                </c:pt>
                <c:pt idx="11">
                  <c:v>2.9411764705882353E-2</c:v>
                </c:pt>
                <c:pt idx="12">
                  <c:v>2.0472634774759989E-2</c:v>
                </c:pt>
                <c:pt idx="13">
                  <c:v>2.5464588306885735E-2</c:v>
                </c:pt>
                <c:pt idx="14">
                  <c:v>2.119451324061726E-2</c:v>
                </c:pt>
                <c:pt idx="15">
                  <c:v>2.6964488099735548E-2</c:v>
                </c:pt>
                <c:pt idx="16">
                  <c:v>2.8949083123894628E-2</c:v>
                </c:pt>
                <c:pt idx="17">
                  <c:v>3.3979591836734692E-2</c:v>
                </c:pt>
                <c:pt idx="18">
                  <c:v>3.5385751695427382E-2</c:v>
                </c:pt>
                <c:pt idx="19">
                  <c:v>3.4866262581326808E-2</c:v>
                </c:pt>
              </c:numCache>
            </c:numRef>
          </c:val>
          <c:smooth val="0"/>
          <c:extLst>
            <c:ext xmlns:c16="http://schemas.microsoft.com/office/drawing/2014/chart" uri="{C3380CC4-5D6E-409C-BE32-E72D297353CC}">
              <c16:uniqueId val="{00000000-4293-4BF2-9F3E-D21D8BB4B9B0}"/>
            </c:ext>
          </c:extLst>
        </c:ser>
        <c:dLbls>
          <c:showLegendKey val="0"/>
          <c:showVal val="0"/>
          <c:showCatName val="0"/>
          <c:showSerName val="0"/>
          <c:showPercent val="0"/>
          <c:showBubbleSize val="0"/>
        </c:dLbls>
        <c:hiLowLines>
          <c:spPr>
            <a:ln w="0">
              <a:noFill/>
            </a:ln>
          </c:spPr>
        </c:hiLowLines>
        <c:smooth val="0"/>
        <c:axId val="91085909"/>
        <c:axId val="45971241"/>
      </c:lineChart>
      <c:dateAx>
        <c:axId val="91085909"/>
        <c:scaling>
          <c:orientation val="minMax"/>
        </c:scaling>
        <c:delete val="0"/>
        <c:axPos val="b"/>
        <c:numFmt formatCode="dd/mm" sourceLinked="0"/>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s-CL"/>
          </a:p>
        </c:txPr>
        <c:crossAx val="45971241"/>
        <c:crosses val="autoZero"/>
        <c:auto val="1"/>
        <c:lblOffset val="100"/>
        <c:baseTimeUnit val="days"/>
      </c:dateAx>
      <c:valAx>
        <c:axId val="4597124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CL" sz="1000" b="1" strike="noStrike" spc="-1">
                    <a:solidFill>
                      <a:srgbClr val="000000"/>
                    </a:solidFill>
                    <a:latin typeface="Calibri"/>
                  </a:rPr>
                  <a:t>CTR%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9108590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Impresiones por grupo de edad</a:t>
            </a:r>
          </a:p>
        </c:rich>
      </c:tx>
      <c:overlay val="0"/>
      <c:spPr>
        <a:noFill/>
        <a:ln w="0">
          <a:noFill/>
        </a:ln>
      </c:spPr>
    </c:title>
    <c:autoTitleDeleted val="0"/>
    <c:plotArea>
      <c:layout/>
      <c:barChart>
        <c:barDir val="bar"/>
        <c:grouping val="clustered"/>
        <c:varyColors val="0"/>
        <c:ser>
          <c:idx val="0"/>
          <c:order val="0"/>
          <c:tx>
            <c:strRef>
              <c:f>Audiencia!$C$7</c:f>
              <c:strCache>
                <c:ptCount val="1"/>
                <c:pt idx="0">
                  <c:v>Impresiones</c:v>
                </c:pt>
              </c:strCache>
            </c:strRef>
          </c:tx>
          <c:spPr>
            <a:solidFill>
              <a:srgbClr val="1DB95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Audiencia!$B$8:$B$11</c:f>
              <c:strCache>
                <c:ptCount val="4"/>
                <c:pt idx="0">
                  <c:v>18-24</c:v>
                </c:pt>
                <c:pt idx="1">
                  <c:v>25-34</c:v>
                </c:pt>
                <c:pt idx="2">
                  <c:v>45+</c:v>
                </c:pt>
                <c:pt idx="3">
                  <c:v>35-44</c:v>
                </c:pt>
              </c:strCache>
            </c:strRef>
          </c:cat>
          <c:val>
            <c:numRef>
              <c:f>Audiencia!$C$8:$C$11</c:f>
              <c:numCache>
                <c:formatCode>#,##0</c:formatCode>
                <c:ptCount val="4"/>
                <c:pt idx="0">
                  <c:v>245383</c:v>
                </c:pt>
                <c:pt idx="1">
                  <c:v>196316</c:v>
                </c:pt>
                <c:pt idx="2">
                  <c:v>98750</c:v>
                </c:pt>
                <c:pt idx="3">
                  <c:v>83016</c:v>
                </c:pt>
              </c:numCache>
            </c:numRef>
          </c:val>
          <c:extLst>
            <c:ext xmlns:c16="http://schemas.microsoft.com/office/drawing/2014/chart" uri="{C3380CC4-5D6E-409C-BE32-E72D297353CC}">
              <c16:uniqueId val="{00000000-D803-4A1F-9BAB-E272AA5BA5A3}"/>
            </c:ext>
          </c:extLst>
        </c:ser>
        <c:dLbls>
          <c:showLegendKey val="0"/>
          <c:showVal val="0"/>
          <c:showCatName val="0"/>
          <c:showSerName val="0"/>
          <c:showPercent val="0"/>
          <c:showBubbleSize val="0"/>
        </c:dLbls>
        <c:gapWidth val="40"/>
        <c:axId val="27975321"/>
        <c:axId val="80303640"/>
      </c:barChart>
      <c:catAx>
        <c:axId val="2797532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80303640"/>
        <c:crosses val="autoZero"/>
        <c:auto val="1"/>
        <c:lblAlgn val="ctr"/>
        <c:lblOffset val="100"/>
        <c:noMultiLvlLbl val="0"/>
      </c:catAx>
      <c:valAx>
        <c:axId val="80303640"/>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797532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CTR% por grupo de edad</a:t>
            </a:r>
          </a:p>
        </c:rich>
      </c:tx>
      <c:overlay val="0"/>
      <c:spPr>
        <a:noFill/>
        <a:ln w="0">
          <a:noFill/>
        </a:ln>
      </c:spPr>
    </c:title>
    <c:autoTitleDeleted val="0"/>
    <c:plotArea>
      <c:layout/>
      <c:barChart>
        <c:barDir val="bar"/>
        <c:grouping val="clustered"/>
        <c:varyColors val="0"/>
        <c:ser>
          <c:idx val="0"/>
          <c:order val="0"/>
          <c:tx>
            <c:strRef>
              <c:f>Audiencia!$F$7</c:f>
              <c:strCache>
                <c:ptCount val="1"/>
                <c:pt idx="0">
                  <c:v>CTR%</c:v>
                </c:pt>
              </c:strCache>
            </c:strRef>
          </c:tx>
          <c:spPr>
            <a:solidFill>
              <a:srgbClr val="19141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Audiencia!$B$8:$B$11</c:f>
              <c:strCache>
                <c:ptCount val="4"/>
                <c:pt idx="0">
                  <c:v>18-24</c:v>
                </c:pt>
                <c:pt idx="1">
                  <c:v>25-34</c:v>
                </c:pt>
                <c:pt idx="2">
                  <c:v>45+</c:v>
                </c:pt>
                <c:pt idx="3">
                  <c:v>35-44</c:v>
                </c:pt>
              </c:strCache>
            </c:strRef>
          </c:cat>
          <c:val>
            <c:numRef>
              <c:f>Audiencia!$F$8:$F$11</c:f>
              <c:numCache>
                <c:formatCode>0.00%</c:formatCode>
                <c:ptCount val="4"/>
                <c:pt idx="0">
                  <c:v>1.3859965849304963E-2</c:v>
                </c:pt>
                <c:pt idx="1">
                  <c:v>1.3987652560158112E-2</c:v>
                </c:pt>
                <c:pt idx="2">
                  <c:v>2.5832911392405063E-2</c:v>
                </c:pt>
                <c:pt idx="3">
                  <c:v>1.6045099739809193E-2</c:v>
                </c:pt>
              </c:numCache>
            </c:numRef>
          </c:val>
          <c:extLst>
            <c:ext xmlns:c16="http://schemas.microsoft.com/office/drawing/2014/chart" uri="{C3380CC4-5D6E-409C-BE32-E72D297353CC}">
              <c16:uniqueId val="{00000000-B914-4976-B30E-361124711969}"/>
            </c:ext>
          </c:extLst>
        </c:ser>
        <c:dLbls>
          <c:showLegendKey val="0"/>
          <c:showVal val="0"/>
          <c:showCatName val="0"/>
          <c:showSerName val="0"/>
          <c:showPercent val="0"/>
          <c:showBubbleSize val="0"/>
        </c:dLbls>
        <c:gapWidth val="40"/>
        <c:axId val="12623530"/>
        <c:axId val="13694106"/>
      </c:barChart>
      <c:catAx>
        <c:axId val="1262353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13694106"/>
        <c:crosses val="autoZero"/>
        <c:auto val="1"/>
        <c:lblAlgn val="ctr"/>
        <c:lblOffset val="100"/>
        <c:noMultiLvlLbl val="0"/>
      </c:catAx>
      <c:valAx>
        <c:axId val="13694106"/>
        <c:scaling>
          <c:orientation val="minMax"/>
        </c:scaling>
        <c:delete val="0"/>
        <c:axPos val="b"/>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126235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Impresiones por sexo</a:t>
            </a:r>
          </a:p>
        </c:rich>
      </c:tx>
      <c:overlay val="0"/>
      <c:spPr>
        <a:noFill/>
        <a:ln w="0">
          <a:noFill/>
        </a:ln>
      </c:spPr>
    </c:title>
    <c:autoTitleDeleted val="0"/>
    <c:plotArea>
      <c:layout/>
      <c:barChart>
        <c:barDir val="bar"/>
        <c:grouping val="clustered"/>
        <c:varyColors val="0"/>
        <c:ser>
          <c:idx val="0"/>
          <c:order val="0"/>
          <c:tx>
            <c:strRef>
              <c:f>Audiencia!$C$35</c:f>
              <c:strCache>
                <c:ptCount val="1"/>
                <c:pt idx="0">
                  <c:v>Impresiones</c:v>
                </c:pt>
              </c:strCache>
            </c:strRef>
          </c:tx>
          <c:spPr>
            <a:solidFill>
              <a:srgbClr val="1DB95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Audiencia!$B$36:$B$38</c:f>
              <c:strCache>
                <c:ptCount val="3"/>
                <c:pt idx="0">
                  <c:v>Hombres</c:v>
                </c:pt>
                <c:pt idx="1">
                  <c:v>Mujeres</c:v>
                </c:pt>
                <c:pt idx="2">
                  <c:v>No binario</c:v>
                </c:pt>
              </c:strCache>
            </c:strRef>
          </c:cat>
          <c:val>
            <c:numRef>
              <c:f>Audiencia!$C$36:$C$38</c:f>
              <c:numCache>
                <c:formatCode>#,##0</c:formatCode>
                <c:ptCount val="3"/>
                <c:pt idx="0">
                  <c:v>332245</c:v>
                </c:pt>
                <c:pt idx="1">
                  <c:v>282457</c:v>
                </c:pt>
                <c:pt idx="2">
                  <c:v>8763</c:v>
                </c:pt>
              </c:numCache>
            </c:numRef>
          </c:val>
          <c:extLst>
            <c:ext xmlns:c16="http://schemas.microsoft.com/office/drawing/2014/chart" uri="{C3380CC4-5D6E-409C-BE32-E72D297353CC}">
              <c16:uniqueId val="{00000000-3783-4F57-9548-030E7D5C7577}"/>
            </c:ext>
          </c:extLst>
        </c:ser>
        <c:dLbls>
          <c:showLegendKey val="0"/>
          <c:showVal val="0"/>
          <c:showCatName val="0"/>
          <c:showSerName val="0"/>
          <c:showPercent val="0"/>
          <c:showBubbleSize val="0"/>
        </c:dLbls>
        <c:gapWidth val="40"/>
        <c:axId val="25096402"/>
        <c:axId val="20777442"/>
      </c:barChart>
      <c:catAx>
        <c:axId val="2509640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0777442"/>
        <c:crosses val="autoZero"/>
        <c:auto val="1"/>
        <c:lblAlgn val="ctr"/>
        <c:lblOffset val="100"/>
        <c:noMultiLvlLbl val="0"/>
      </c:catAx>
      <c:valAx>
        <c:axId val="20777442"/>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509640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CTR% por sexo</a:t>
            </a:r>
          </a:p>
        </c:rich>
      </c:tx>
      <c:overlay val="0"/>
      <c:spPr>
        <a:noFill/>
        <a:ln w="0">
          <a:noFill/>
        </a:ln>
      </c:spPr>
    </c:title>
    <c:autoTitleDeleted val="0"/>
    <c:plotArea>
      <c:layout/>
      <c:barChart>
        <c:barDir val="bar"/>
        <c:grouping val="clustered"/>
        <c:varyColors val="0"/>
        <c:ser>
          <c:idx val="0"/>
          <c:order val="0"/>
          <c:tx>
            <c:strRef>
              <c:f>Audiencia!$F$35</c:f>
              <c:strCache>
                <c:ptCount val="1"/>
                <c:pt idx="0">
                  <c:v>CTR%</c:v>
                </c:pt>
              </c:strCache>
            </c:strRef>
          </c:tx>
          <c:spPr>
            <a:solidFill>
              <a:srgbClr val="19141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Audiencia!$B$36:$B$38</c:f>
              <c:strCache>
                <c:ptCount val="3"/>
                <c:pt idx="0">
                  <c:v>Hombres</c:v>
                </c:pt>
                <c:pt idx="1">
                  <c:v>Mujeres</c:v>
                </c:pt>
                <c:pt idx="2">
                  <c:v>No binario</c:v>
                </c:pt>
              </c:strCache>
            </c:strRef>
          </c:cat>
          <c:val>
            <c:numRef>
              <c:f>Audiencia!$F$36:$F$38</c:f>
              <c:numCache>
                <c:formatCode>0.00%</c:formatCode>
                <c:ptCount val="3"/>
                <c:pt idx="0">
                  <c:v>1.6421616578127587E-2</c:v>
                </c:pt>
                <c:pt idx="1">
                  <c:v>1.5751070074383002E-2</c:v>
                </c:pt>
                <c:pt idx="2">
                  <c:v>1.4378637452927079E-2</c:v>
                </c:pt>
              </c:numCache>
            </c:numRef>
          </c:val>
          <c:extLst>
            <c:ext xmlns:c16="http://schemas.microsoft.com/office/drawing/2014/chart" uri="{C3380CC4-5D6E-409C-BE32-E72D297353CC}">
              <c16:uniqueId val="{00000000-2BBD-41A8-B14E-5A696D33E518}"/>
            </c:ext>
          </c:extLst>
        </c:ser>
        <c:dLbls>
          <c:showLegendKey val="0"/>
          <c:showVal val="0"/>
          <c:showCatName val="0"/>
          <c:showSerName val="0"/>
          <c:showPercent val="0"/>
          <c:showBubbleSize val="0"/>
        </c:dLbls>
        <c:gapWidth val="40"/>
        <c:axId val="58869233"/>
        <c:axId val="53307573"/>
      </c:barChart>
      <c:catAx>
        <c:axId val="5886923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53307573"/>
        <c:crosses val="autoZero"/>
        <c:auto val="1"/>
        <c:lblAlgn val="ctr"/>
        <c:lblOffset val="100"/>
        <c:noMultiLvlLbl val="0"/>
      </c:catAx>
      <c:valAx>
        <c:axId val="53307573"/>
        <c:scaling>
          <c:orientation val="minMax"/>
        </c:scaling>
        <c:delete val="0"/>
        <c:axPos val="b"/>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588692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Impresiones por género musical</a:t>
            </a:r>
          </a:p>
        </c:rich>
      </c:tx>
      <c:overlay val="0"/>
      <c:spPr>
        <a:noFill/>
        <a:ln w="0">
          <a:noFill/>
        </a:ln>
      </c:spPr>
    </c:title>
    <c:autoTitleDeleted val="0"/>
    <c:plotArea>
      <c:layout/>
      <c:barChart>
        <c:barDir val="bar"/>
        <c:grouping val="clustered"/>
        <c:varyColors val="0"/>
        <c:ser>
          <c:idx val="0"/>
          <c:order val="0"/>
          <c:tx>
            <c:strRef>
              <c:f>Contenido!$C$7</c:f>
              <c:strCache>
                <c:ptCount val="1"/>
                <c:pt idx="0">
                  <c:v>Impresiones</c:v>
                </c:pt>
              </c:strCache>
            </c:strRef>
          </c:tx>
          <c:spPr>
            <a:solidFill>
              <a:srgbClr val="1DB95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Contenido!$B$8:$B$17</c:f>
              <c:strCache>
                <c:ptCount val="10"/>
                <c:pt idx="0">
                  <c:v>Latin</c:v>
                </c:pt>
                <c:pt idx="1">
                  <c:v>Reggaeton</c:v>
                </c:pt>
                <c:pt idx="2">
                  <c:v>Mexican</c:v>
                </c:pt>
                <c:pt idx="3">
                  <c:v>Trap</c:v>
                </c:pt>
                <c:pt idx="4">
                  <c:v>Hip hop</c:v>
                </c:pt>
                <c:pt idx="5">
                  <c:v>Pop</c:v>
                </c:pt>
                <c:pt idx="6">
                  <c:v>Latin Pop</c:v>
                </c:pt>
                <c:pt idx="7">
                  <c:v>Theater</c:v>
                </c:pt>
                <c:pt idx="8">
                  <c:v>Rock</c:v>
                </c:pt>
                <c:pt idx="9">
                  <c:v>Electronica</c:v>
                </c:pt>
              </c:strCache>
            </c:strRef>
          </c:cat>
          <c:val>
            <c:numRef>
              <c:f>Contenido!$C$8:$C$17</c:f>
              <c:numCache>
                <c:formatCode>#,##0</c:formatCode>
                <c:ptCount val="10"/>
                <c:pt idx="0">
                  <c:v>129914</c:v>
                </c:pt>
                <c:pt idx="1">
                  <c:v>118512</c:v>
                </c:pt>
                <c:pt idx="2">
                  <c:v>61593</c:v>
                </c:pt>
                <c:pt idx="3">
                  <c:v>45335</c:v>
                </c:pt>
                <c:pt idx="4">
                  <c:v>32695</c:v>
                </c:pt>
                <c:pt idx="5">
                  <c:v>31634</c:v>
                </c:pt>
                <c:pt idx="6">
                  <c:v>25369</c:v>
                </c:pt>
                <c:pt idx="7">
                  <c:v>23265</c:v>
                </c:pt>
                <c:pt idx="8">
                  <c:v>21356</c:v>
                </c:pt>
                <c:pt idx="9">
                  <c:v>12714</c:v>
                </c:pt>
              </c:numCache>
            </c:numRef>
          </c:val>
          <c:extLst>
            <c:ext xmlns:c16="http://schemas.microsoft.com/office/drawing/2014/chart" uri="{C3380CC4-5D6E-409C-BE32-E72D297353CC}">
              <c16:uniqueId val="{00000000-CAEE-4163-B2B1-0932A45909C8}"/>
            </c:ext>
          </c:extLst>
        </c:ser>
        <c:dLbls>
          <c:showLegendKey val="0"/>
          <c:showVal val="0"/>
          <c:showCatName val="0"/>
          <c:showSerName val="0"/>
          <c:showPercent val="0"/>
          <c:showBubbleSize val="0"/>
        </c:dLbls>
        <c:gapWidth val="40"/>
        <c:axId val="29200953"/>
        <c:axId val="26481290"/>
      </c:barChart>
      <c:catAx>
        <c:axId val="2920095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6481290"/>
        <c:crosses val="autoZero"/>
        <c:auto val="1"/>
        <c:lblAlgn val="ctr"/>
        <c:lblOffset val="100"/>
        <c:noMultiLvlLbl val="0"/>
      </c:catAx>
      <c:valAx>
        <c:axId val="26481290"/>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920095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Impresiones por tono</a:t>
            </a:r>
          </a:p>
        </c:rich>
      </c:tx>
      <c:overlay val="0"/>
      <c:spPr>
        <a:noFill/>
        <a:ln w="0">
          <a:noFill/>
        </a:ln>
      </c:spPr>
    </c:title>
    <c:autoTitleDeleted val="0"/>
    <c:plotArea>
      <c:layout/>
      <c:barChart>
        <c:barDir val="bar"/>
        <c:grouping val="clustered"/>
        <c:varyColors val="0"/>
        <c:ser>
          <c:idx val="0"/>
          <c:order val="0"/>
          <c:tx>
            <c:strRef>
              <c:f>Contenido!$C$41</c:f>
              <c:strCache>
                <c:ptCount val="1"/>
                <c:pt idx="0">
                  <c:v>Impresiones</c:v>
                </c:pt>
              </c:strCache>
            </c:strRef>
          </c:tx>
          <c:spPr>
            <a:solidFill>
              <a:srgbClr val="1DB95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Contenido!$B$42:$B$51</c:f>
              <c:strCache>
                <c:ptCount val="10"/>
                <c:pt idx="0">
                  <c:v>Bittersweet</c:v>
                </c:pt>
                <c:pt idx="1">
                  <c:v>Love</c:v>
                </c:pt>
                <c:pt idx="2">
                  <c:v>Empowering</c:v>
                </c:pt>
                <c:pt idx="3">
                  <c:v>Energetic</c:v>
                </c:pt>
                <c:pt idx="4">
                  <c:v>Intense</c:v>
                </c:pt>
                <c:pt idx="5">
                  <c:v>Happy</c:v>
                </c:pt>
                <c:pt idx="6">
                  <c:v>Chill</c:v>
                </c:pt>
                <c:pt idx="7">
                  <c:v>Spooky</c:v>
                </c:pt>
                <c:pt idx="8">
                  <c:v>Nostalgic</c:v>
                </c:pt>
                <c:pt idx="9">
                  <c:v>Relaxation</c:v>
                </c:pt>
              </c:strCache>
            </c:strRef>
          </c:cat>
          <c:val>
            <c:numRef>
              <c:f>Contenido!$C$42:$C$51</c:f>
              <c:numCache>
                <c:formatCode>#,##0</c:formatCode>
                <c:ptCount val="10"/>
                <c:pt idx="0">
                  <c:v>129952</c:v>
                </c:pt>
                <c:pt idx="1">
                  <c:v>106825</c:v>
                </c:pt>
                <c:pt idx="2">
                  <c:v>71357</c:v>
                </c:pt>
                <c:pt idx="3">
                  <c:v>70748</c:v>
                </c:pt>
                <c:pt idx="4">
                  <c:v>68632</c:v>
                </c:pt>
                <c:pt idx="5">
                  <c:v>56786</c:v>
                </c:pt>
                <c:pt idx="6">
                  <c:v>32622</c:v>
                </c:pt>
                <c:pt idx="7">
                  <c:v>29987</c:v>
                </c:pt>
                <c:pt idx="8">
                  <c:v>28394</c:v>
                </c:pt>
                <c:pt idx="9">
                  <c:v>20623</c:v>
                </c:pt>
              </c:numCache>
            </c:numRef>
          </c:val>
          <c:extLst>
            <c:ext xmlns:c16="http://schemas.microsoft.com/office/drawing/2014/chart" uri="{C3380CC4-5D6E-409C-BE32-E72D297353CC}">
              <c16:uniqueId val="{00000000-7146-4F37-9445-DFB018C15316}"/>
            </c:ext>
          </c:extLst>
        </c:ser>
        <c:dLbls>
          <c:showLegendKey val="0"/>
          <c:showVal val="0"/>
          <c:showCatName val="0"/>
          <c:showSerName val="0"/>
          <c:showPercent val="0"/>
          <c:showBubbleSize val="0"/>
        </c:dLbls>
        <c:gapWidth val="40"/>
        <c:axId val="73349832"/>
        <c:axId val="75418926"/>
      </c:barChart>
      <c:catAx>
        <c:axId val="7334983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75418926"/>
        <c:crosses val="autoZero"/>
        <c:auto val="1"/>
        <c:lblAlgn val="ctr"/>
        <c:lblOffset val="100"/>
        <c:noMultiLvlLbl val="0"/>
      </c:catAx>
      <c:valAx>
        <c:axId val="75418926"/>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7334983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Impresiones por actividad</a:t>
            </a:r>
          </a:p>
        </c:rich>
      </c:tx>
      <c:overlay val="0"/>
      <c:spPr>
        <a:noFill/>
        <a:ln w="0">
          <a:noFill/>
        </a:ln>
      </c:spPr>
    </c:title>
    <c:autoTitleDeleted val="0"/>
    <c:plotArea>
      <c:layout/>
      <c:barChart>
        <c:barDir val="bar"/>
        <c:grouping val="clustered"/>
        <c:varyColors val="0"/>
        <c:ser>
          <c:idx val="0"/>
          <c:order val="0"/>
          <c:tx>
            <c:strRef>
              <c:f>Contenido!$C$75</c:f>
              <c:strCache>
                <c:ptCount val="1"/>
                <c:pt idx="0">
                  <c:v>Impresiones</c:v>
                </c:pt>
              </c:strCache>
            </c:strRef>
          </c:tx>
          <c:spPr>
            <a:solidFill>
              <a:srgbClr val="1DB95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Contenido!$B$76:$B$85</c:f>
              <c:strCache>
                <c:ptCount val="10"/>
                <c:pt idx="0">
                  <c:v>Dancing</c:v>
                </c:pt>
                <c:pt idx="1">
                  <c:v>Party</c:v>
                </c:pt>
                <c:pt idx="2">
                  <c:v>Sport</c:v>
                </c:pt>
                <c:pt idx="3">
                  <c:v>Singing</c:v>
                </c:pt>
                <c:pt idx="4">
                  <c:v>Workout</c:v>
                </c:pt>
                <c:pt idx="5">
                  <c:v>Outdoor</c:v>
                </c:pt>
                <c:pt idx="6">
                  <c:v>Morning</c:v>
                </c:pt>
                <c:pt idx="7">
                  <c:v>Cooking</c:v>
                </c:pt>
                <c:pt idx="8">
                  <c:v>Summer</c:v>
                </c:pt>
                <c:pt idx="9">
                  <c:v>Holiday</c:v>
                </c:pt>
              </c:strCache>
            </c:strRef>
          </c:cat>
          <c:val>
            <c:numRef>
              <c:f>Contenido!$C$76:$C$85</c:f>
              <c:numCache>
                <c:formatCode>#,##0</c:formatCode>
                <c:ptCount val="10"/>
                <c:pt idx="0">
                  <c:v>145575</c:v>
                </c:pt>
                <c:pt idx="1">
                  <c:v>107535</c:v>
                </c:pt>
                <c:pt idx="2">
                  <c:v>86125</c:v>
                </c:pt>
                <c:pt idx="3">
                  <c:v>81298</c:v>
                </c:pt>
                <c:pt idx="4">
                  <c:v>43074</c:v>
                </c:pt>
                <c:pt idx="5">
                  <c:v>29973</c:v>
                </c:pt>
                <c:pt idx="6">
                  <c:v>25835</c:v>
                </c:pt>
                <c:pt idx="7">
                  <c:v>18773</c:v>
                </c:pt>
                <c:pt idx="8">
                  <c:v>16584</c:v>
                </c:pt>
                <c:pt idx="9">
                  <c:v>14453</c:v>
                </c:pt>
              </c:numCache>
            </c:numRef>
          </c:val>
          <c:extLst>
            <c:ext xmlns:c16="http://schemas.microsoft.com/office/drawing/2014/chart" uri="{C3380CC4-5D6E-409C-BE32-E72D297353CC}">
              <c16:uniqueId val="{00000000-2CDB-4090-8EA7-8DF0CBEF2FEF}"/>
            </c:ext>
          </c:extLst>
        </c:ser>
        <c:dLbls>
          <c:showLegendKey val="0"/>
          <c:showVal val="0"/>
          <c:showCatName val="0"/>
          <c:showSerName val="0"/>
          <c:showPercent val="0"/>
          <c:showBubbleSize val="0"/>
        </c:dLbls>
        <c:gapWidth val="40"/>
        <c:axId val="2411606"/>
        <c:axId val="67859034"/>
      </c:barChart>
      <c:catAx>
        <c:axId val="241160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67859034"/>
        <c:crosses val="autoZero"/>
        <c:auto val="1"/>
        <c:lblAlgn val="ctr"/>
        <c:lblOffset val="100"/>
        <c:noMultiLvlLbl val="0"/>
      </c:catAx>
      <c:valAx>
        <c:axId val="67859034"/>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241160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Distribución de impresiones por dispositivo</a:t>
            </a:r>
          </a:p>
        </c:rich>
      </c:tx>
      <c:overlay val="0"/>
      <c:spPr>
        <a:noFill/>
        <a:ln w="0">
          <a:noFill/>
        </a:ln>
      </c:spPr>
    </c:title>
    <c:autoTitleDeleted val="0"/>
    <c:plotArea>
      <c:layout/>
      <c:pieChart>
        <c:varyColors val="1"/>
        <c:ser>
          <c:idx val="0"/>
          <c:order val="0"/>
          <c:tx>
            <c:strRef>
              <c:f>Dispositivo!$C$7</c:f>
              <c:strCache>
                <c:ptCount val="1"/>
                <c:pt idx="0">
                  <c:v>Impresiones</c:v>
                </c:pt>
              </c:strCache>
            </c:strRef>
          </c:tx>
          <c:spPr>
            <a:solidFill>
              <a:srgbClr val="4F81BD"/>
            </a:solidFill>
            <a:ln w="0">
              <a:noFill/>
            </a:ln>
          </c:spPr>
          <c:dPt>
            <c:idx val="0"/>
            <c:bubble3D val="0"/>
            <c:spPr>
              <a:solidFill>
                <a:srgbClr val="1DB954"/>
              </a:solidFill>
              <a:ln w="0">
                <a:noFill/>
              </a:ln>
            </c:spPr>
            <c:extLst>
              <c:ext xmlns:c16="http://schemas.microsoft.com/office/drawing/2014/chart" uri="{C3380CC4-5D6E-409C-BE32-E72D297353CC}">
                <c16:uniqueId val="{00000001-87D2-410C-AC11-1030DB958B17}"/>
              </c:ext>
            </c:extLst>
          </c:dPt>
          <c:dPt>
            <c:idx val="1"/>
            <c:bubble3D val="0"/>
            <c:spPr>
              <a:solidFill>
                <a:srgbClr val="191414"/>
              </a:solidFill>
              <a:ln w="0">
                <a:noFill/>
              </a:ln>
            </c:spPr>
            <c:extLst>
              <c:ext xmlns:c16="http://schemas.microsoft.com/office/drawing/2014/chart" uri="{C3380CC4-5D6E-409C-BE32-E72D297353CC}">
                <c16:uniqueId val="{00000003-87D2-410C-AC11-1030DB958B17}"/>
              </c:ext>
            </c:extLst>
          </c:dPt>
          <c:dLbls>
            <c:dLbl>
              <c:idx val="0"/>
              <c:spPr/>
              <c:txPr>
                <a:bodyPr wrap="square"/>
                <a:lstStyle/>
                <a:p>
                  <a:pPr>
                    <a:defRPr sz="1000" b="0" strike="noStrike" spc="-1">
                      <a:solidFill>
                        <a:srgbClr val="000000"/>
                      </a:solidFill>
                      <a:latin typeface="Calibri"/>
                    </a:defRPr>
                  </a:pPr>
                  <a:endParaRPr lang="es-CL"/>
                </a:p>
              </c:txPr>
              <c:dLblPos val="bestFit"/>
              <c:showLegendKey val="1"/>
              <c:showVal val="1"/>
              <c:showCatName val="1"/>
              <c:showSerName val="1"/>
              <c:showPercent val="1"/>
              <c:showBubbleSize val="1"/>
              <c:extLst>
                <c:ext xmlns:c16="http://schemas.microsoft.com/office/drawing/2014/chart" uri="{C3380CC4-5D6E-409C-BE32-E72D297353CC}">
                  <c16:uniqueId val="{00000001-87D2-410C-AC11-1030DB958B17}"/>
                </c:ext>
              </c:extLst>
            </c:dLbl>
            <c:dLbl>
              <c:idx val="1"/>
              <c:spPr/>
              <c:txPr>
                <a:bodyPr wrap="square"/>
                <a:lstStyle/>
                <a:p>
                  <a:pPr>
                    <a:defRPr sz="1000" b="0" strike="noStrike" spc="-1">
                      <a:solidFill>
                        <a:srgbClr val="000000"/>
                      </a:solidFill>
                      <a:latin typeface="Calibri"/>
                    </a:defRPr>
                  </a:pPr>
                  <a:endParaRPr lang="es-CL"/>
                </a:p>
              </c:txPr>
              <c:dLblPos val="bestFit"/>
              <c:showLegendKey val="1"/>
              <c:showVal val="1"/>
              <c:showCatName val="1"/>
              <c:showSerName val="1"/>
              <c:showPercent val="1"/>
              <c:showBubbleSize val="1"/>
              <c:extLst>
                <c:ext xmlns:c16="http://schemas.microsoft.com/office/drawing/2014/chart" uri="{C3380CC4-5D6E-409C-BE32-E72D297353CC}">
                  <c16:uniqueId val="{00000003-87D2-410C-AC11-1030DB958B17}"/>
                </c:ext>
              </c:extLst>
            </c:dLbl>
            <c:spPr>
              <a:noFill/>
              <a:ln>
                <a:noFill/>
              </a:ln>
              <a:effectLst/>
            </c:spPr>
            <c:txPr>
              <a:bodyPr wrap="square"/>
              <a:lstStyle/>
              <a:p>
                <a:pPr>
                  <a:defRPr sz="1000" b="0" strike="noStrike" spc="-1">
                    <a:solidFill>
                      <a:srgbClr val="000000"/>
                    </a:solidFill>
                    <a:latin typeface="Calibri"/>
                  </a:defRPr>
                </a:pPr>
                <a:endParaRPr lang="es-CL"/>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Dispositivo!$B$8:$B$9</c:f>
              <c:strCache>
                <c:ptCount val="2"/>
                <c:pt idx="0">
                  <c:v>Teléfono (Phone)</c:v>
                </c:pt>
                <c:pt idx="1">
                  <c:v>Computador (PC)</c:v>
                </c:pt>
              </c:strCache>
            </c:strRef>
          </c:cat>
          <c:val>
            <c:numRef>
              <c:f>Dispositivo!$C$8:$C$9</c:f>
              <c:numCache>
                <c:formatCode>#,##0</c:formatCode>
                <c:ptCount val="2"/>
                <c:pt idx="0">
                  <c:v>620527</c:v>
                </c:pt>
                <c:pt idx="1">
                  <c:v>2938</c:v>
                </c:pt>
              </c:numCache>
            </c:numRef>
          </c:val>
          <c:extLst>
            <c:ext xmlns:c16="http://schemas.microsoft.com/office/drawing/2014/chart" uri="{C3380CC4-5D6E-409C-BE32-E72D297353CC}">
              <c16:uniqueId val="{00000004-87D2-410C-AC11-1030DB958B17}"/>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CTR% por dispositivo</a:t>
            </a:r>
          </a:p>
        </c:rich>
      </c:tx>
      <c:overlay val="0"/>
      <c:spPr>
        <a:noFill/>
        <a:ln w="0">
          <a:noFill/>
        </a:ln>
      </c:spPr>
    </c:title>
    <c:autoTitleDeleted val="0"/>
    <c:plotArea>
      <c:layout/>
      <c:barChart>
        <c:barDir val="bar"/>
        <c:grouping val="clustered"/>
        <c:varyColors val="0"/>
        <c:ser>
          <c:idx val="0"/>
          <c:order val="0"/>
          <c:tx>
            <c:strRef>
              <c:f>Dispositivo!$F$7</c:f>
              <c:strCache>
                <c:ptCount val="1"/>
                <c:pt idx="0">
                  <c:v>CTR%</c:v>
                </c:pt>
              </c:strCache>
            </c:strRef>
          </c:tx>
          <c:spPr>
            <a:solidFill>
              <a:srgbClr val="19141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Dispositivo!$B$8:$B$9</c:f>
              <c:strCache>
                <c:ptCount val="2"/>
                <c:pt idx="0">
                  <c:v>Teléfono (Phone)</c:v>
                </c:pt>
                <c:pt idx="1">
                  <c:v>Computador (PC)</c:v>
                </c:pt>
              </c:strCache>
            </c:strRef>
          </c:cat>
          <c:val>
            <c:numRef>
              <c:f>Dispositivo!$F$8:$F$9</c:f>
              <c:numCache>
                <c:formatCode>0.00%</c:formatCode>
                <c:ptCount val="2"/>
                <c:pt idx="0">
                  <c:v>1.6160457159801266E-2</c:v>
                </c:pt>
                <c:pt idx="1">
                  <c:v>1.0211027910142954E-3</c:v>
                </c:pt>
              </c:numCache>
            </c:numRef>
          </c:val>
          <c:extLst>
            <c:ext xmlns:c16="http://schemas.microsoft.com/office/drawing/2014/chart" uri="{C3380CC4-5D6E-409C-BE32-E72D297353CC}">
              <c16:uniqueId val="{00000000-5C30-44EE-9BF9-5B0B84BBEDDD}"/>
            </c:ext>
          </c:extLst>
        </c:ser>
        <c:dLbls>
          <c:showLegendKey val="0"/>
          <c:showVal val="0"/>
          <c:showCatName val="0"/>
          <c:showSerName val="0"/>
          <c:showPercent val="0"/>
          <c:showBubbleSize val="0"/>
        </c:dLbls>
        <c:gapWidth val="40"/>
        <c:axId val="75565859"/>
        <c:axId val="40821157"/>
      </c:barChart>
      <c:catAx>
        <c:axId val="7556585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40821157"/>
        <c:crosses val="autoZero"/>
        <c:auto val="1"/>
        <c:lblAlgn val="ctr"/>
        <c:lblOffset val="100"/>
        <c:noMultiLvlLbl val="0"/>
      </c:catAx>
      <c:valAx>
        <c:axId val="40821157"/>
        <c:scaling>
          <c:orientation val="minMax"/>
        </c:scaling>
        <c:delete val="0"/>
        <c:axPos val="b"/>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7556585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png"/><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60120</xdr:colOff>
      <xdr:row>8</xdr:row>
      <xdr:rowOff>95040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242160" y="571680"/>
          <a:ext cx="1047240" cy="1047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30</xdr:row>
      <xdr:rowOff>13680</xdr:rowOff>
    </xdr:from>
    <xdr:to>
      <xdr:col>12</xdr:col>
      <xdr:colOff>65520</xdr:colOff>
      <xdr:row>43</xdr:row>
      <xdr:rowOff>162360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0</xdr:row>
      <xdr:rowOff>0</xdr:rowOff>
    </xdr:from>
    <xdr:to>
      <xdr:col>10</xdr:col>
      <xdr:colOff>437760</xdr:colOff>
      <xdr:row>1</xdr:row>
      <xdr:rowOff>247320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8458200" y="0"/>
          <a:ext cx="437760" cy="437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29</xdr:row>
      <xdr:rowOff>78120</xdr:rowOff>
    </xdr:from>
    <xdr:to>
      <xdr:col>9</xdr:col>
      <xdr:colOff>25200</xdr:colOff>
      <xdr:row>46</xdr:row>
      <xdr:rowOff>79200</xdr:rowOff>
    </xdr:to>
    <xdr:graphicFrame macro="">
      <xdr:nvGraphicFramePr>
        <xdr:cNvPr id="3" name="Chart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49</xdr:row>
      <xdr:rowOff>78120</xdr:rowOff>
    </xdr:from>
    <xdr:to>
      <xdr:col>9</xdr:col>
      <xdr:colOff>25200</xdr:colOff>
      <xdr:row>66</xdr:row>
      <xdr:rowOff>79200</xdr:rowOff>
    </xdr:to>
    <xdr:graphicFrame macro="">
      <xdr:nvGraphicFramePr>
        <xdr:cNvPr id="4" name="Chart 2">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0</xdr:row>
      <xdr:rowOff>0</xdr:rowOff>
    </xdr:from>
    <xdr:to>
      <xdr:col>8</xdr:col>
      <xdr:colOff>380520</xdr:colOff>
      <xdr:row>1</xdr:row>
      <xdr:rowOff>190080</xdr:rowOff>
    </xdr:to>
    <xdr:pic>
      <xdr:nvPicPr>
        <xdr:cNvPr id="5" name="Image 3"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3"/>
        <a:stretch/>
      </xdr:blipFill>
      <xdr:spPr>
        <a:xfrm>
          <a:off x="7119000" y="0"/>
          <a:ext cx="380520" cy="3805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12</xdr:row>
      <xdr:rowOff>78120</xdr:rowOff>
    </xdr:from>
    <xdr:to>
      <xdr:col>7</xdr:col>
      <xdr:colOff>660600</xdr:colOff>
      <xdr:row>27</xdr:row>
      <xdr:rowOff>100080</xdr:rowOff>
    </xdr:to>
    <xdr:graphicFrame macro="">
      <xdr:nvGraphicFramePr>
        <xdr:cNvPr id="6" name="Chart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12</xdr:row>
      <xdr:rowOff>78120</xdr:rowOff>
    </xdr:from>
    <xdr:to>
      <xdr:col>13</xdr:col>
      <xdr:colOff>236160</xdr:colOff>
      <xdr:row>27</xdr:row>
      <xdr:rowOff>100080</xdr:rowOff>
    </xdr:to>
    <xdr:graphicFrame macro="">
      <xdr:nvGraphicFramePr>
        <xdr:cNvPr id="7" name="Chart 2">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38</xdr:row>
      <xdr:rowOff>156240</xdr:rowOff>
    </xdr:from>
    <xdr:to>
      <xdr:col>7</xdr:col>
      <xdr:colOff>660600</xdr:colOff>
      <xdr:row>53</xdr:row>
      <xdr:rowOff>178200</xdr:rowOff>
    </xdr:to>
    <xdr:graphicFrame macro="">
      <xdr:nvGraphicFramePr>
        <xdr:cNvPr id="8" name="Chart 3">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38</xdr:row>
      <xdr:rowOff>156240</xdr:rowOff>
    </xdr:from>
    <xdr:to>
      <xdr:col>13</xdr:col>
      <xdr:colOff>236160</xdr:colOff>
      <xdr:row>53</xdr:row>
      <xdr:rowOff>178200</xdr:rowOff>
    </xdr:to>
    <xdr:graphicFrame macro="">
      <xdr:nvGraphicFramePr>
        <xdr:cNvPr id="9" name="Chart 4">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0</xdr:row>
      <xdr:rowOff>0</xdr:rowOff>
    </xdr:from>
    <xdr:to>
      <xdr:col>10</xdr:col>
      <xdr:colOff>380520</xdr:colOff>
      <xdr:row>1</xdr:row>
      <xdr:rowOff>190080</xdr:rowOff>
    </xdr:to>
    <xdr:pic>
      <xdr:nvPicPr>
        <xdr:cNvPr id="10" name="Image 5"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5"/>
        <a:stretch/>
      </xdr:blipFill>
      <xdr:spPr>
        <a:xfrm>
          <a:off x="8387640" y="0"/>
          <a:ext cx="380520" cy="3805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18</xdr:row>
      <xdr:rowOff>78120</xdr:rowOff>
    </xdr:from>
    <xdr:to>
      <xdr:col>7</xdr:col>
      <xdr:colOff>660600</xdr:colOff>
      <xdr:row>33</xdr:row>
      <xdr:rowOff>100080</xdr:rowOff>
    </xdr:to>
    <xdr:graphicFrame macro="">
      <xdr:nvGraphicFramePr>
        <xdr:cNvPr id="11" name="Chart 1">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51</xdr:row>
      <xdr:rowOff>156240</xdr:rowOff>
    </xdr:from>
    <xdr:to>
      <xdr:col>7</xdr:col>
      <xdr:colOff>660600</xdr:colOff>
      <xdr:row>66</xdr:row>
      <xdr:rowOff>178200</xdr:rowOff>
    </xdr:to>
    <xdr:graphicFrame macro="">
      <xdr:nvGraphicFramePr>
        <xdr:cNvPr id="12" name="Chart 2">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85</xdr:row>
      <xdr:rowOff>43920</xdr:rowOff>
    </xdr:from>
    <xdr:to>
      <xdr:col>7</xdr:col>
      <xdr:colOff>660600</xdr:colOff>
      <xdr:row>100</xdr:row>
      <xdr:rowOff>65880</xdr:rowOff>
    </xdr:to>
    <xdr:graphicFrame macro="">
      <xdr:nvGraphicFramePr>
        <xdr:cNvPr id="13" name="Chart 3">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0</xdr:row>
      <xdr:rowOff>0</xdr:rowOff>
    </xdr:from>
    <xdr:to>
      <xdr:col>10</xdr:col>
      <xdr:colOff>380520</xdr:colOff>
      <xdr:row>1</xdr:row>
      <xdr:rowOff>190080</xdr:rowOff>
    </xdr:to>
    <xdr:pic>
      <xdr:nvPicPr>
        <xdr:cNvPr id="14" name="Image 4" descr="Picture">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4"/>
        <a:stretch/>
      </xdr:blipFill>
      <xdr:spPr>
        <a:xfrm>
          <a:off x="8387640" y="0"/>
          <a:ext cx="380520" cy="3805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10</xdr:row>
      <xdr:rowOff>78120</xdr:rowOff>
    </xdr:from>
    <xdr:to>
      <xdr:col>6</xdr:col>
      <xdr:colOff>246600</xdr:colOff>
      <xdr:row>27</xdr:row>
      <xdr:rowOff>79200</xdr:rowOff>
    </xdr:to>
    <xdr:graphicFrame macro="">
      <xdr:nvGraphicFramePr>
        <xdr:cNvPr id="15" name="Chart 1">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10</xdr:row>
      <xdr:rowOff>78120</xdr:rowOff>
    </xdr:from>
    <xdr:to>
      <xdr:col>13</xdr:col>
      <xdr:colOff>236160</xdr:colOff>
      <xdr:row>25</xdr:row>
      <xdr:rowOff>100080</xdr:rowOff>
    </xdr:to>
    <xdr:graphicFrame macro="">
      <xdr:nvGraphicFramePr>
        <xdr:cNvPr id="16" name="Chart 2">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0</xdr:row>
      <xdr:rowOff>0</xdr:rowOff>
    </xdr:from>
    <xdr:to>
      <xdr:col>10</xdr:col>
      <xdr:colOff>380520</xdr:colOff>
      <xdr:row>1</xdr:row>
      <xdr:rowOff>190080</xdr:rowOff>
    </xdr:to>
    <xdr:pic>
      <xdr:nvPicPr>
        <xdr:cNvPr id="17" name="Image 3" descr="Picture">
          <a:extLst>
            <a:ext uri="{FF2B5EF4-FFF2-40B4-BE49-F238E27FC236}">
              <a16:creationId xmlns:a16="http://schemas.microsoft.com/office/drawing/2014/main" id="{00000000-0008-0000-0500-000011000000}"/>
            </a:ext>
          </a:extLst>
        </xdr:cNvPr>
        <xdr:cNvPicPr/>
      </xdr:nvPicPr>
      <xdr:blipFill>
        <a:blip xmlns:r="http://schemas.openxmlformats.org/officeDocument/2006/relationships" r:embed="rId3"/>
        <a:stretch/>
      </xdr:blipFill>
      <xdr:spPr>
        <a:xfrm>
          <a:off x="8387640" y="0"/>
          <a:ext cx="380520" cy="3805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10</xdr:col>
      <xdr:colOff>418680</xdr:colOff>
      <xdr:row>1</xdr:row>
      <xdr:rowOff>228240</xdr:rowOff>
    </xdr:to>
    <xdr:pic>
      <xdr:nvPicPr>
        <xdr:cNvPr id="18" name="Image 1" descr="Picture">
          <a:extLst>
            <a:ext uri="{FF2B5EF4-FFF2-40B4-BE49-F238E27FC236}">
              <a16:creationId xmlns:a16="http://schemas.microsoft.com/office/drawing/2014/main" id="{00000000-0008-0000-0600-000012000000}"/>
            </a:ext>
          </a:extLst>
        </xdr:cNvPr>
        <xdr:cNvPicPr/>
      </xdr:nvPicPr>
      <xdr:blipFill>
        <a:blip xmlns:r="http://schemas.openxmlformats.org/officeDocument/2006/relationships" r:embed="rId1"/>
        <a:stretch/>
      </xdr:blipFill>
      <xdr:spPr>
        <a:xfrm>
          <a:off x="8387640" y="0"/>
          <a:ext cx="418680" cy="4186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8"/>
  <sheetViews>
    <sheetView showGridLines="0" tabSelected="1" zoomScaleNormal="100" workbookViewId="0">
      <selection activeCell="K9" sqref="K9"/>
    </sheetView>
  </sheetViews>
  <sheetFormatPr defaultColWidth="8.7109375" defaultRowHeight="15" x14ac:dyDescent="0.25"/>
  <cols>
    <col min="1" max="1" width="4" style="37" customWidth="1"/>
    <col min="2" max="11" width="14" style="37" customWidth="1"/>
    <col min="12" max="16384" width="8.7109375" style="37"/>
  </cols>
  <sheetData>
    <row r="1" spans="1:11" x14ac:dyDescent="0.25">
      <c r="A1" s="36"/>
      <c r="B1" s="36"/>
      <c r="C1" s="36"/>
      <c r="D1" s="36"/>
      <c r="E1" s="36"/>
      <c r="F1" s="36"/>
      <c r="G1" s="36"/>
      <c r="H1" s="36"/>
      <c r="I1" s="36"/>
      <c r="J1" s="36"/>
      <c r="K1" s="36"/>
    </row>
    <row r="2" spans="1:11" x14ac:dyDescent="0.25">
      <c r="A2" s="36"/>
      <c r="B2" s="36"/>
      <c r="C2" s="36"/>
      <c r="D2" s="36"/>
      <c r="E2" s="36"/>
      <c r="F2" s="36"/>
      <c r="G2" s="36"/>
      <c r="H2" s="36"/>
      <c r="I2" s="36"/>
      <c r="J2" s="36"/>
      <c r="K2" s="36"/>
    </row>
    <row r="3" spans="1:11" x14ac:dyDescent="0.25">
      <c r="A3" s="36"/>
      <c r="B3" s="36"/>
      <c r="C3" s="36"/>
      <c r="D3" s="36"/>
      <c r="E3" s="36"/>
      <c r="F3" s="36"/>
      <c r="G3" s="36"/>
      <c r="H3" s="36"/>
      <c r="I3" s="36"/>
      <c r="J3" s="36"/>
      <c r="K3" s="36"/>
    </row>
    <row r="4" spans="1:11" x14ac:dyDescent="0.25">
      <c r="A4" s="36"/>
      <c r="B4" s="36"/>
      <c r="C4" s="36"/>
      <c r="D4" s="36"/>
      <c r="E4" s="36"/>
      <c r="F4" s="36"/>
      <c r="G4" s="36"/>
      <c r="H4" s="36"/>
      <c r="I4" s="36"/>
      <c r="J4" s="36"/>
      <c r="K4" s="36"/>
    </row>
    <row r="5" spans="1:11" x14ac:dyDescent="0.25">
      <c r="A5" s="36"/>
      <c r="B5" s="36"/>
      <c r="C5" s="36"/>
      <c r="D5" s="36"/>
      <c r="E5" s="36"/>
      <c r="F5" s="36"/>
      <c r="G5" s="36"/>
      <c r="H5" s="36"/>
      <c r="I5" s="36"/>
      <c r="J5" s="36"/>
      <c r="K5" s="36"/>
    </row>
    <row r="6" spans="1:11" x14ac:dyDescent="0.25">
      <c r="A6" s="36"/>
      <c r="B6" s="36"/>
      <c r="C6" s="36"/>
      <c r="D6" s="36"/>
      <c r="E6" s="36"/>
      <c r="F6" s="36"/>
      <c r="G6" s="36"/>
      <c r="H6" s="36"/>
      <c r="I6" s="36"/>
      <c r="J6" s="36"/>
      <c r="K6" s="36"/>
    </row>
    <row r="7" spans="1:11" x14ac:dyDescent="0.25">
      <c r="A7" s="36"/>
      <c r="B7" s="36"/>
      <c r="C7" s="36"/>
      <c r="D7" s="36"/>
      <c r="E7" s="36"/>
      <c r="F7" s="36"/>
      <c r="G7" s="36"/>
      <c r="H7" s="36"/>
      <c r="I7" s="36"/>
      <c r="J7" s="36"/>
      <c r="K7" s="36"/>
    </row>
    <row r="8" spans="1:11" x14ac:dyDescent="0.25">
      <c r="A8" s="36"/>
      <c r="B8" s="36"/>
      <c r="C8" s="36"/>
      <c r="D8" s="36"/>
      <c r="E8" s="36"/>
      <c r="F8" s="36"/>
      <c r="G8" s="36"/>
      <c r="H8" s="36"/>
      <c r="I8" s="36"/>
      <c r="J8" s="36"/>
      <c r="K8" s="36"/>
    </row>
    <row r="9" spans="1:11" x14ac:dyDescent="0.25">
      <c r="A9" s="36"/>
      <c r="B9" s="36"/>
      <c r="C9" s="36"/>
      <c r="D9" s="36"/>
      <c r="E9" s="36"/>
      <c r="F9" s="36"/>
      <c r="G9" s="36"/>
      <c r="H9" s="36"/>
      <c r="I9" s="36"/>
      <c r="J9" s="36"/>
      <c r="K9" s="36"/>
    </row>
    <row r="10" spans="1:11" x14ac:dyDescent="0.25">
      <c r="A10" s="36"/>
      <c r="B10" s="38" t="s">
        <v>0</v>
      </c>
      <c r="C10" s="38"/>
      <c r="D10" s="38"/>
      <c r="E10" s="38"/>
      <c r="F10" s="38"/>
      <c r="G10" s="38"/>
      <c r="H10" s="38"/>
      <c r="I10" s="38"/>
      <c r="J10" s="38"/>
      <c r="K10" s="38"/>
    </row>
    <row r="11" spans="1:11" x14ac:dyDescent="0.25">
      <c r="A11" s="36"/>
      <c r="B11" s="38"/>
      <c r="C11" s="38"/>
      <c r="D11" s="38"/>
      <c r="E11" s="38"/>
      <c r="F11" s="38"/>
      <c r="G11" s="38"/>
      <c r="H11" s="38"/>
      <c r="I11" s="38"/>
      <c r="J11" s="38"/>
      <c r="K11" s="38"/>
    </row>
    <row r="12" spans="1:11" x14ac:dyDescent="0.25">
      <c r="A12" s="36"/>
      <c r="B12" s="39" t="s">
        <v>1</v>
      </c>
      <c r="C12" s="39"/>
      <c r="D12" s="39"/>
      <c r="E12" s="39"/>
      <c r="F12" s="39"/>
      <c r="G12" s="39"/>
      <c r="H12" s="39"/>
      <c r="I12" s="39"/>
      <c r="J12" s="39"/>
      <c r="K12" s="39"/>
    </row>
    <row r="13" spans="1:11" x14ac:dyDescent="0.25">
      <c r="A13" s="36"/>
      <c r="B13" s="39"/>
      <c r="C13" s="39"/>
      <c r="D13" s="39"/>
      <c r="E13" s="39"/>
      <c r="F13" s="39"/>
      <c r="G13" s="39"/>
      <c r="H13" s="39"/>
      <c r="I13" s="39"/>
      <c r="J13" s="39"/>
      <c r="K13" s="39"/>
    </row>
    <row r="14" spans="1:11" x14ac:dyDescent="0.25">
      <c r="A14" s="36"/>
      <c r="B14" s="36"/>
      <c r="C14" s="36"/>
      <c r="D14" s="36"/>
      <c r="E14" s="36"/>
      <c r="F14" s="36"/>
      <c r="G14" s="36"/>
      <c r="H14" s="36"/>
      <c r="I14" s="36"/>
      <c r="J14" s="36"/>
      <c r="K14" s="36"/>
    </row>
    <row r="15" spans="1:11" x14ac:dyDescent="0.25">
      <c r="A15" s="36"/>
      <c r="B15" s="36"/>
      <c r="C15" s="36"/>
      <c r="D15" s="36"/>
      <c r="E15" s="36"/>
      <c r="F15" s="36"/>
      <c r="G15" s="36"/>
      <c r="H15" s="36"/>
      <c r="I15" s="36"/>
      <c r="J15" s="36"/>
      <c r="K15" s="36"/>
    </row>
    <row r="16" spans="1:11" x14ac:dyDescent="0.25">
      <c r="A16" s="36"/>
      <c r="B16" s="36"/>
      <c r="C16" s="40" t="s">
        <v>2</v>
      </c>
      <c r="D16" s="40"/>
      <c r="E16" s="41" t="s">
        <v>3</v>
      </c>
      <c r="F16" s="41"/>
      <c r="G16" s="41"/>
      <c r="H16" s="41"/>
      <c r="I16" s="41"/>
      <c r="J16" s="41"/>
      <c r="K16" s="36"/>
    </row>
    <row r="17" spans="1:11" x14ac:dyDescent="0.25">
      <c r="A17" s="36"/>
      <c r="B17" s="36"/>
      <c r="C17" s="36"/>
      <c r="D17" s="36"/>
      <c r="E17" s="36"/>
      <c r="F17" s="36"/>
      <c r="G17" s="36"/>
      <c r="H17" s="36"/>
      <c r="I17" s="36"/>
      <c r="J17" s="36"/>
      <c r="K17" s="36"/>
    </row>
    <row r="18" spans="1:11" x14ac:dyDescent="0.25">
      <c r="A18" s="36"/>
      <c r="B18" s="36"/>
      <c r="C18" s="40" t="s">
        <v>4</v>
      </c>
      <c r="D18" s="40"/>
      <c r="E18" s="41" t="s">
        <v>5</v>
      </c>
      <c r="F18" s="41"/>
      <c r="G18" s="41"/>
      <c r="H18" s="41"/>
      <c r="I18" s="41"/>
      <c r="J18" s="41"/>
      <c r="K18" s="36"/>
    </row>
    <row r="19" spans="1:11" x14ac:dyDescent="0.25">
      <c r="A19" s="36"/>
      <c r="B19" s="36"/>
      <c r="C19" s="36"/>
      <c r="D19" s="36"/>
      <c r="E19" s="36"/>
      <c r="F19" s="36"/>
      <c r="G19" s="36"/>
      <c r="H19" s="36"/>
      <c r="I19" s="36"/>
      <c r="J19" s="36"/>
      <c r="K19" s="36"/>
    </row>
    <row r="20" spans="1:11" x14ac:dyDescent="0.25">
      <c r="A20" s="36"/>
      <c r="B20" s="36"/>
      <c r="C20" s="40" t="s">
        <v>6</v>
      </c>
      <c r="D20" s="40"/>
      <c r="E20" s="41" t="s">
        <v>7</v>
      </c>
      <c r="F20" s="41"/>
      <c r="G20" s="41"/>
      <c r="H20" s="41"/>
      <c r="I20" s="41"/>
      <c r="J20" s="41"/>
      <c r="K20" s="36"/>
    </row>
    <row r="21" spans="1:11" x14ac:dyDescent="0.25">
      <c r="A21" s="36"/>
      <c r="B21" s="36"/>
      <c r="C21" s="36"/>
      <c r="D21" s="36"/>
      <c r="E21" s="36"/>
      <c r="F21" s="36"/>
      <c r="G21" s="36"/>
      <c r="H21" s="36"/>
      <c r="I21" s="36"/>
      <c r="J21" s="36"/>
      <c r="K21" s="36"/>
    </row>
    <row r="22" spans="1:11" x14ac:dyDescent="0.25">
      <c r="A22" s="36"/>
      <c r="B22" s="36"/>
      <c r="C22" s="40" t="s">
        <v>8</v>
      </c>
      <c r="D22" s="40"/>
      <c r="E22" s="41" t="s">
        <v>9</v>
      </c>
      <c r="F22" s="41"/>
      <c r="G22" s="41"/>
      <c r="H22" s="41"/>
      <c r="I22" s="41"/>
      <c r="J22" s="41"/>
      <c r="K22" s="36"/>
    </row>
    <row r="23" spans="1:11" x14ac:dyDescent="0.25">
      <c r="A23" s="36"/>
      <c r="B23" s="36"/>
      <c r="C23" s="36"/>
      <c r="D23" s="36"/>
      <c r="E23" s="36"/>
      <c r="F23" s="36"/>
      <c r="G23" s="36"/>
      <c r="H23" s="36"/>
      <c r="I23" s="36"/>
      <c r="J23" s="36"/>
      <c r="K23" s="36"/>
    </row>
    <row r="24" spans="1:11" x14ac:dyDescent="0.25">
      <c r="A24" s="36"/>
      <c r="B24" s="36"/>
      <c r="C24" s="40" t="s">
        <v>10</v>
      </c>
      <c r="D24" s="40"/>
      <c r="E24" s="41" t="s">
        <v>11</v>
      </c>
      <c r="F24" s="41"/>
      <c r="G24" s="41"/>
      <c r="H24" s="41"/>
      <c r="I24" s="41"/>
      <c r="J24" s="41"/>
      <c r="K24" s="36"/>
    </row>
    <row r="25" spans="1:11" x14ac:dyDescent="0.25">
      <c r="A25" s="36"/>
      <c r="B25" s="36"/>
      <c r="C25" s="36"/>
      <c r="D25" s="36"/>
      <c r="E25" s="36"/>
      <c r="F25" s="36"/>
      <c r="G25" s="36"/>
      <c r="H25" s="36"/>
      <c r="I25" s="36"/>
      <c r="J25" s="36"/>
      <c r="K25" s="36"/>
    </row>
    <row r="26" spans="1:11" x14ac:dyDescent="0.25">
      <c r="A26" s="36"/>
      <c r="B26" s="36"/>
      <c r="C26" s="40" t="s">
        <v>12</v>
      </c>
      <c r="D26" s="40"/>
      <c r="E26" s="41" t="s">
        <v>13</v>
      </c>
      <c r="F26" s="41"/>
      <c r="G26" s="41"/>
      <c r="H26" s="41"/>
      <c r="I26" s="41"/>
      <c r="J26" s="41"/>
      <c r="K26" s="36"/>
    </row>
    <row r="27" spans="1:11" x14ac:dyDescent="0.25">
      <c r="A27" s="36"/>
      <c r="B27" s="36"/>
      <c r="C27" s="36"/>
      <c r="D27" s="36"/>
      <c r="E27" s="36"/>
      <c r="F27" s="36"/>
      <c r="G27" s="36"/>
      <c r="H27" s="36"/>
      <c r="I27" s="36"/>
      <c r="J27" s="36"/>
      <c r="K27" s="36"/>
    </row>
    <row r="28" spans="1:11" x14ac:dyDescent="0.25">
      <c r="A28" s="36"/>
      <c r="B28" s="36"/>
      <c r="C28" s="36"/>
      <c r="D28" s="36"/>
      <c r="E28" s="36"/>
      <c r="F28" s="36"/>
      <c r="G28" s="36"/>
      <c r="H28" s="36"/>
      <c r="I28" s="36"/>
      <c r="J28" s="36"/>
      <c r="K28" s="36"/>
    </row>
    <row r="29" spans="1:11" x14ac:dyDescent="0.25">
      <c r="A29" s="36"/>
      <c r="B29" s="36"/>
      <c r="C29" s="36"/>
      <c r="D29" s="36"/>
      <c r="E29" s="36"/>
      <c r="F29" s="36"/>
      <c r="G29" s="36"/>
      <c r="H29" s="36"/>
      <c r="I29" s="36"/>
      <c r="J29" s="36"/>
      <c r="K29" s="36"/>
    </row>
    <row r="30" spans="1:11" x14ac:dyDescent="0.25">
      <c r="A30" s="36"/>
      <c r="B30" s="36"/>
      <c r="C30" s="36"/>
      <c r="D30" s="36"/>
      <c r="E30" s="36"/>
      <c r="F30" s="36"/>
      <c r="G30" s="36"/>
      <c r="H30" s="36"/>
      <c r="I30" s="36"/>
      <c r="J30" s="36"/>
      <c r="K30" s="36"/>
    </row>
    <row r="31" spans="1:11" x14ac:dyDescent="0.25">
      <c r="A31" s="36"/>
      <c r="B31" s="36"/>
      <c r="C31" s="36"/>
      <c r="D31" s="36"/>
      <c r="E31" s="36"/>
      <c r="F31" s="36"/>
      <c r="G31" s="36"/>
      <c r="H31" s="36"/>
      <c r="I31" s="36"/>
      <c r="J31" s="36"/>
      <c r="K31" s="36"/>
    </row>
    <row r="32" spans="1:11" x14ac:dyDescent="0.25">
      <c r="A32" s="36"/>
      <c r="B32" s="36"/>
      <c r="C32" s="36"/>
      <c r="D32" s="36"/>
      <c r="E32" s="36"/>
      <c r="F32" s="36"/>
      <c r="G32" s="36"/>
      <c r="H32" s="36"/>
      <c r="I32" s="36"/>
      <c r="J32" s="36"/>
      <c r="K32" s="36"/>
    </row>
    <row r="33" spans="1:11" x14ac:dyDescent="0.25">
      <c r="A33" s="36"/>
      <c r="B33" s="36"/>
      <c r="C33" s="36"/>
      <c r="D33" s="36"/>
      <c r="E33" s="36"/>
      <c r="F33" s="36"/>
      <c r="G33" s="36"/>
      <c r="H33" s="36"/>
      <c r="I33" s="36"/>
      <c r="J33" s="36"/>
      <c r="K33" s="36"/>
    </row>
    <row r="34" spans="1:11" x14ac:dyDescent="0.25">
      <c r="A34" s="36"/>
      <c r="B34" s="42" t="s">
        <v>14</v>
      </c>
      <c r="C34" s="42"/>
      <c r="D34" s="42"/>
      <c r="E34" s="42"/>
      <c r="F34" s="42"/>
      <c r="G34" s="42"/>
      <c r="H34" s="42"/>
      <c r="I34" s="42"/>
      <c r="J34" s="42"/>
      <c r="K34" s="42"/>
    </row>
    <row r="35" spans="1:11" x14ac:dyDescent="0.25">
      <c r="A35" s="36"/>
      <c r="B35" s="42"/>
      <c r="C35" s="42"/>
      <c r="D35" s="42"/>
      <c r="E35" s="42"/>
      <c r="F35" s="42"/>
      <c r="G35" s="42"/>
      <c r="H35" s="42"/>
      <c r="I35" s="42"/>
      <c r="J35" s="42"/>
      <c r="K35" s="42"/>
    </row>
    <row r="36" spans="1:11" x14ac:dyDescent="0.25">
      <c r="A36" s="36"/>
      <c r="B36" s="36"/>
      <c r="C36" s="36"/>
      <c r="D36" s="36"/>
      <c r="E36" s="36"/>
      <c r="F36" s="36"/>
      <c r="G36" s="36"/>
      <c r="H36" s="36"/>
      <c r="I36" s="36"/>
      <c r="J36" s="36"/>
      <c r="K36" s="36"/>
    </row>
    <row r="37" spans="1:11" x14ac:dyDescent="0.25">
      <c r="A37" s="36"/>
      <c r="B37" s="36"/>
      <c r="C37" s="36"/>
      <c r="D37" s="36"/>
      <c r="E37" s="36"/>
      <c r="F37" s="36"/>
      <c r="G37" s="36"/>
      <c r="H37" s="36"/>
      <c r="I37" s="36"/>
      <c r="J37" s="36"/>
      <c r="K37" s="36"/>
    </row>
    <row r="38" spans="1:11" x14ac:dyDescent="0.25">
      <c r="A38" s="36"/>
      <c r="B38" s="36"/>
      <c r="C38" s="36"/>
      <c r="D38" s="36"/>
      <c r="E38" s="36"/>
      <c r="F38" s="36"/>
      <c r="G38" s="36"/>
      <c r="H38" s="36"/>
      <c r="I38" s="36"/>
      <c r="J38" s="36"/>
      <c r="K38" s="36"/>
    </row>
  </sheetData>
  <mergeCells count="15">
    <mergeCell ref="C26:D26"/>
    <mergeCell ref="E26:J26"/>
    <mergeCell ref="B34:K35"/>
    <mergeCell ref="C20:D20"/>
    <mergeCell ref="E20:J20"/>
    <mergeCell ref="C22:D22"/>
    <mergeCell ref="E22:J22"/>
    <mergeCell ref="C24:D24"/>
    <mergeCell ref="E24:J24"/>
    <mergeCell ref="B10:K11"/>
    <mergeCell ref="B12:K13"/>
    <mergeCell ref="C16:D16"/>
    <mergeCell ref="E16:J16"/>
    <mergeCell ref="C18:D18"/>
    <mergeCell ref="E18:J18"/>
  </mergeCells>
  <pageMargins left="0.3" right="0.3" top="0.4" bottom="0.4" header="0.511811023622047" footer="0.511811023622047"/>
  <pageSetup fitToHeight="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X37"/>
  <sheetViews>
    <sheetView showGridLines="0" zoomScaleNormal="100" workbookViewId="0">
      <selection activeCell="B2" sqref="B2:J3"/>
    </sheetView>
  </sheetViews>
  <sheetFormatPr defaultColWidth="8.7109375" defaultRowHeight="15" x14ac:dyDescent="0.25"/>
  <cols>
    <col min="1" max="1" width="3" customWidth="1"/>
    <col min="2" max="13" width="13" customWidth="1"/>
    <col min="14" max="24" width="13" hidden="1" customWidth="1"/>
  </cols>
  <sheetData>
    <row r="1" spans="2:23" x14ac:dyDescent="0.25">
      <c r="N1" s="10" t="s">
        <v>15</v>
      </c>
    </row>
    <row r="2" spans="2:23" ht="31.5" customHeight="1" x14ac:dyDescent="0.25">
      <c r="B2" s="9" t="s">
        <v>16</v>
      </c>
      <c r="C2" s="9"/>
      <c r="D2" s="9"/>
      <c r="E2" s="9"/>
      <c r="F2" s="9"/>
      <c r="G2" s="9"/>
      <c r="H2" s="9"/>
      <c r="I2" s="9"/>
      <c r="J2" s="9"/>
    </row>
    <row r="3" spans="2:23" x14ac:dyDescent="0.25">
      <c r="B3" s="9"/>
      <c r="C3" s="9"/>
      <c r="D3" s="9"/>
      <c r="E3" s="9"/>
      <c r="F3" s="9"/>
      <c r="G3" s="9"/>
      <c r="H3" s="9"/>
      <c r="I3" s="9"/>
      <c r="J3" s="9"/>
      <c r="N3" s="11" t="s">
        <v>17</v>
      </c>
      <c r="O3" s="11" t="s">
        <v>18</v>
      </c>
      <c r="P3" s="11" t="s">
        <v>19</v>
      </c>
      <c r="Q3" s="11" t="s">
        <v>20</v>
      </c>
      <c r="R3" s="11" t="s">
        <v>21</v>
      </c>
      <c r="S3" s="11" t="s">
        <v>22</v>
      </c>
      <c r="T3" s="11" t="s">
        <v>23</v>
      </c>
      <c r="U3" s="11" t="s">
        <v>24</v>
      </c>
      <c r="V3" s="11" t="s">
        <v>25</v>
      </c>
      <c r="W3" s="11" t="s">
        <v>26</v>
      </c>
    </row>
    <row r="4" spans="2:23" x14ac:dyDescent="0.25">
      <c r="B4" s="8" t="s">
        <v>27</v>
      </c>
      <c r="C4" s="8"/>
      <c r="D4" s="8"/>
      <c r="E4" s="8"/>
      <c r="F4" s="8"/>
      <c r="G4" s="8"/>
      <c r="H4" s="8"/>
      <c r="I4" s="8"/>
      <c r="J4" s="8"/>
      <c r="N4" t="s">
        <v>28</v>
      </c>
      <c r="O4">
        <v>461936</v>
      </c>
      <c r="P4">
        <v>366187</v>
      </c>
      <c r="Q4">
        <v>5532</v>
      </c>
      <c r="R4">
        <v>2350.6799999999998</v>
      </c>
      <c r="S4">
        <v>467846</v>
      </c>
      <c r="T4">
        <v>445622</v>
      </c>
      <c r="U4">
        <v>444514</v>
      </c>
      <c r="V4">
        <v>443615</v>
      </c>
      <c r="W4">
        <v>442306</v>
      </c>
    </row>
    <row r="5" spans="2:23" x14ac:dyDescent="0.25">
      <c r="N5" t="s">
        <v>29</v>
      </c>
      <c r="O5">
        <v>161529</v>
      </c>
      <c r="P5">
        <v>94613</v>
      </c>
      <c r="Q5">
        <v>4499</v>
      </c>
      <c r="R5">
        <v>817.95</v>
      </c>
      <c r="S5">
        <v>164065</v>
      </c>
      <c r="T5">
        <v>157684</v>
      </c>
      <c r="U5">
        <v>157056</v>
      </c>
      <c r="V5">
        <v>156593</v>
      </c>
      <c r="W5">
        <v>155336</v>
      </c>
    </row>
    <row r="6" spans="2:23" x14ac:dyDescent="0.25">
      <c r="B6" s="7" t="s">
        <v>30</v>
      </c>
      <c r="C6" s="7"/>
      <c r="D6" s="7"/>
      <c r="E6" s="7"/>
      <c r="F6" s="7"/>
      <c r="G6" s="7"/>
      <c r="H6" s="7"/>
      <c r="I6" s="7"/>
      <c r="J6" s="7"/>
      <c r="N6" t="s">
        <v>31</v>
      </c>
      <c r="O6">
        <f>SUM(O4:O5)</f>
        <v>623465</v>
      </c>
      <c r="P6" s="10">
        <v>420715</v>
      </c>
      <c r="Q6">
        <f t="shared" ref="Q6:W6" si="0">SUM(Q4:Q5)</f>
        <v>10031</v>
      </c>
      <c r="R6">
        <f t="shared" si="0"/>
        <v>3168.63</v>
      </c>
      <c r="S6">
        <f t="shared" si="0"/>
        <v>631911</v>
      </c>
      <c r="T6">
        <f t="shared" si="0"/>
        <v>603306</v>
      </c>
      <c r="U6">
        <f t="shared" si="0"/>
        <v>601570</v>
      </c>
      <c r="V6">
        <f t="shared" si="0"/>
        <v>600208</v>
      </c>
      <c r="W6">
        <f t="shared" si="0"/>
        <v>597642</v>
      </c>
    </row>
    <row r="7" spans="2:23" x14ac:dyDescent="0.25">
      <c r="B7" s="6" t="s">
        <v>32</v>
      </c>
      <c r="C7" s="6"/>
      <c r="D7" s="6" t="s">
        <v>33</v>
      </c>
      <c r="E7" s="6"/>
      <c r="F7" s="6" t="s">
        <v>34</v>
      </c>
      <c r="G7" s="6"/>
      <c r="H7" s="6" t="s">
        <v>35</v>
      </c>
      <c r="I7" s="6"/>
    </row>
    <row r="8" spans="2:23" x14ac:dyDescent="0.25">
      <c r="B8" s="5">
        <f>O6</f>
        <v>623465</v>
      </c>
      <c r="C8" s="5"/>
      <c r="D8" s="5">
        <v>434754</v>
      </c>
      <c r="E8" s="5"/>
      <c r="F8" s="4">
        <f>+B8/D8</f>
        <v>1.4340638614020802</v>
      </c>
      <c r="G8" s="4"/>
      <c r="H8" s="5">
        <f>Q6</f>
        <v>10031</v>
      </c>
      <c r="I8" s="5"/>
    </row>
    <row r="9" spans="2:23" x14ac:dyDescent="0.25">
      <c r="B9" s="5"/>
      <c r="C9" s="5"/>
      <c r="D9" s="5"/>
      <c r="E9" s="5"/>
      <c r="F9" s="4"/>
      <c r="G9" s="4"/>
      <c r="H9" s="5"/>
      <c r="I9" s="5"/>
    </row>
    <row r="10" spans="2:23" x14ac:dyDescent="0.25">
      <c r="F10" s="3" t="s">
        <v>36</v>
      </c>
      <c r="G10" s="3"/>
    </row>
    <row r="11" spans="2:23" x14ac:dyDescent="0.25">
      <c r="B11" s="6" t="s">
        <v>37</v>
      </c>
      <c r="C11" s="6"/>
      <c r="D11" s="6" t="s">
        <v>38</v>
      </c>
      <c r="E11" s="6"/>
      <c r="F11" s="6" t="s">
        <v>39</v>
      </c>
      <c r="G11" s="6"/>
      <c r="H11" s="6" t="s">
        <v>40</v>
      </c>
      <c r="I11" s="6"/>
    </row>
    <row r="12" spans="2:23" x14ac:dyDescent="0.25">
      <c r="B12" s="2">
        <f>Q6/O6</f>
        <v>1.608911486611117E-2</v>
      </c>
      <c r="C12" s="2"/>
      <c r="D12" s="1">
        <f>R6</f>
        <v>3168.63</v>
      </c>
      <c r="E12" s="1"/>
      <c r="F12" s="5">
        <f>S6</f>
        <v>631911</v>
      </c>
      <c r="G12" s="5"/>
      <c r="H12" s="2">
        <f>W6/S6</f>
        <v>0.94576926181060306</v>
      </c>
      <c r="I12" s="2"/>
    </row>
    <row r="13" spans="2:23" x14ac:dyDescent="0.25">
      <c r="B13" s="2"/>
      <c r="C13" s="2"/>
      <c r="D13" s="1"/>
      <c r="E13" s="1"/>
      <c r="F13" s="5"/>
      <c r="G13" s="5"/>
      <c r="H13" s="2"/>
      <c r="I13" s="2"/>
    </row>
    <row r="14" spans="2:23" x14ac:dyDescent="0.25">
      <c r="B14" s="3" t="s">
        <v>41</v>
      </c>
      <c r="C14" s="3"/>
      <c r="H14" s="3" t="s">
        <v>42</v>
      </c>
      <c r="I14" s="3"/>
    </row>
    <row r="16" spans="2:23" x14ac:dyDescent="0.25">
      <c r="B16" s="7" t="s">
        <v>43</v>
      </c>
      <c r="C16" s="7"/>
      <c r="D16" s="7"/>
      <c r="E16" s="7"/>
      <c r="F16" s="7"/>
      <c r="G16" s="7"/>
      <c r="H16" s="7"/>
      <c r="I16" s="7"/>
      <c r="J16" s="7"/>
    </row>
    <row r="17" spans="2:13" ht="38.25" x14ac:dyDescent="0.25">
      <c r="B17" s="12" t="s">
        <v>8</v>
      </c>
      <c r="C17" s="12" t="s">
        <v>44</v>
      </c>
      <c r="D17" s="12" t="s">
        <v>45</v>
      </c>
    </row>
    <row r="18" spans="2:13" x14ac:dyDescent="0.25">
      <c r="B18" s="13" t="s">
        <v>46</v>
      </c>
      <c r="C18" s="14">
        <f>P4</f>
        <v>366187</v>
      </c>
      <c r="D18" s="15">
        <f>C18/C20</f>
        <v>0.84228552238737309</v>
      </c>
    </row>
    <row r="19" spans="2:13" x14ac:dyDescent="0.25">
      <c r="B19" s="13" t="s">
        <v>47</v>
      </c>
      <c r="C19" s="14">
        <f>P5</f>
        <v>94613</v>
      </c>
      <c r="D19" s="15">
        <f>C19/C20</f>
        <v>0.21762421967365453</v>
      </c>
    </row>
    <row r="20" spans="2:13" x14ac:dyDescent="0.25">
      <c r="B20" s="16" t="s">
        <v>48</v>
      </c>
      <c r="C20" s="17">
        <f>+D8</f>
        <v>434754</v>
      </c>
      <c r="D20" s="18">
        <v>1</v>
      </c>
    </row>
    <row r="22" spans="2:13" x14ac:dyDescent="0.25">
      <c r="B22" s="29"/>
      <c r="C22" s="29"/>
      <c r="D22" s="29"/>
      <c r="E22" s="29"/>
      <c r="F22" s="29"/>
      <c r="G22" s="29"/>
      <c r="H22" s="29"/>
      <c r="I22" s="29"/>
      <c r="J22" s="29"/>
    </row>
    <row r="24" spans="2:13" x14ac:dyDescent="0.25">
      <c r="B24" s="7" t="s">
        <v>49</v>
      </c>
      <c r="C24" s="7"/>
      <c r="D24" s="7"/>
      <c r="E24" s="7"/>
      <c r="F24" s="7"/>
      <c r="G24" s="7"/>
      <c r="H24" s="7"/>
      <c r="I24" s="7"/>
      <c r="J24" s="7"/>
    </row>
    <row r="25" spans="2:13" ht="25.5" x14ac:dyDescent="0.25">
      <c r="B25" s="12" t="s">
        <v>8</v>
      </c>
      <c r="C25" s="12" t="s">
        <v>18</v>
      </c>
      <c r="D25" s="12" t="s">
        <v>19</v>
      </c>
      <c r="E25" s="12" t="s">
        <v>50</v>
      </c>
      <c r="F25" s="12" t="s">
        <v>20</v>
      </c>
      <c r="G25" s="12" t="s">
        <v>37</v>
      </c>
      <c r="H25" s="12" t="s">
        <v>21</v>
      </c>
      <c r="I25" s="12" t="s">
        <v>22</v>
      </c>
      <c r="J25" s="12" t="s">
        <v>51</v>
      </c>
      <c r="K25" s="12" t="s">
        <v>52</v>
      </c>
      <c r="L25" s="12" t="s">
        <v>53</v>
      </c>
      <c r="M25" s="12" t="s">
        <v>54</v>
      </c>
    </row>
    <row r="26" spans="2:13" x14ac:dyDescent="0.25">
      <c r="B26" s="13" t="s">
        <v>28</v>
      </c>
      <c r="C26" s="14">
        <f t="shared" ref="C26:D28" si="1">O4</f>
        <v>461936</v>
      </c>
      <c r="D26" s="14">
        <f t="shared" si="1"/>
        <v>366187</v>
      </c>
      <c r="E26" s="19">
        <f>C26/D26</f>
        <v>1.2614756941125709</v>
      </c>
      <c r="F26" s="14">
        <f>Q4</f>
        <v>5532</v>
      </c>
      <c r="G26" s="20">
        <f>F26/C26</f>
        <v>1.1975684943368778E-2</v>
      </c>
      <c r="H26" s="21">
        <f t="shared" ref="H26:M28" si="2">R4</f>
        <v>2350.6799999999998</v>
      </c>
      <c r="I26" s="14">
        <f t="shared" si="2"/>
        <v>467846</v>
      </c>
      <c r="J26" s="14">
        <f t="shared" si="2"/>
        <v>445622</v>
      </c>
      <c r="K26" s="14">
        <f t="shared" si="2"/>
        <v>444514</v>
      </c>
      <c r="L26" s="14">
        <f t="shared" si="2"/>
        <v>443615</v>
      </c>
      <c r="M26" s="14">
        <f t="shared" si="2"/>
        <v>442306</v>
      </c>
    </row>
    <row r="27" spans="2:13" x14ac:dyDescent="0.25">
      <c r="B27" s="13" t="s">
        <v>29</v>
      </c>
      <c r="C27" s="14">
        <f t="shared" si="1"/>
        <v>161529</v>
      </c>
      <c r="D27" s="14">
        <f t="shared" si="1"/>
        <v>94613</v>
      </c>
      <c r="E27" s="19">
        <f>C27/D27</f>
        <v>1.7072601016773594</v>
      </c>
      <c r="F27" s="14">
        <f>Q5</f>
        <v>4499</v>
      </c>
      <c r="G27" s="20">
        <f>F27/C27</f>
        <v>2.7852583746571822E-2</v>
      </c>
      <c r="H27" s="21">
        <f t="shared" si="2"/>
        <v>817.95</v>
      </c>
      <c r="I27" s="14">
        <f t="shared" si="2"/>
        <v>164065</v>
      </c>
      <c r="J27" s="14">
        <f t="shared" si="2"/>
        <v>157684</v>
      </c>
      <c r="K27" s="14">
        <f t="shared" si="2"/>
        <v>157056</v>
      </c>
      <c r="L27" s="14">
        <f t="shared" si="2"/>
        <v>156593</v>
      </c>
      <c r="M27" s="14">
        <f t="shared" si="2"/>
        <v>155336</v>
      </c>
    </row>
    <row r="28" spans="2:13" x14ac:dyDescent="0.25">
      <c r="B28" s="16" t="s">
        <v>31</v>
      </c>
      <c r="C28" s="17">
        <f t="shared" si="1"/>
        <v>623465</v>
      </c>
      <c r="D28" s="17">
        <f t="shared" si="1"/>
        <v>420715</v>
      </c>
      <c r="E28" s="22">
        <f>C28/D28</f>
        <v>1.4819176877458613</v>
      </c>
      <c r="F28" s="17">
        <f>Q6</f>
        <v>10031</v>
      </c>
      <c r="G28" s="23">
        <f>F28/C28</f>
        <v>1.608911486611117E-2</v>
      </c>
      <c r="H28" s="24">
        <f t="shared" si="2"/>
        <v>3168.63</v>
      </c>
      <c r="I28" s="17">
        <f t="shared" si="2"/>
        <v>631911</v>
      </c>
      <c r="J28" s="17">
        <f t="shared" si="2"/>
        <v>603306</v>
      </c>
      <c r="K28" s="17">
        <f t="shared" si="2"/>
        <v>601570</v>
      </c>
      <c r="L28" s="17">
        <f t="shared" si="2"/>
        <v>600208</v>
      </c>
      <c r="M28" s="17">
        <f t="shared" si="2"/>
        <v>597642</v>
      </c>
    </row>
    <row r="31" spans="2:13" x14ac:dyDescent="0.25">
      <c r="B31" s="7" t="s">
        <v>55</v>
      </c>
      <c r="C31" s="7"/>
      <c r="D31" s="7"/>
      <c r="E31" s="7"/>
      <c r="F31" s="7"/>
      <c r="G31" s="7"/>
      <c r="H31" s="7"/>
      <c r="I31" s="7"/>
      <c r="J31" s="7"/>
    </row>
    <row r="32" spans="2:13" ht="38.25" x14ac:dyDescent="0.25">
      <c r="B32" s="12" t="s">
        <v>8</v>
      </c>
      <c r="C32" s="12" t="s">
        <v>56</v>
      </c>
      <c r="D32" s="12" t="s">
        <v>57</v>
      </c>
      <c r="E32" s="12" t="s">
        <v>58</v>
      </c>
    </row>
    <row r="33" spans="2:10" x14ac:dyDescent="0.25">
      <c r="B33" s="13" t="s">
        <v>28</v>
      </c>
      <c r="C33" s="20">
        <f>Q4/O4</f>
        <v>1.1975684943368778E-2</v>
      </c>
      <c r="D33" s="20">
        <v>2.5000000000000001E-3</v>
      </c>
      <c r="E33" s="25">
        <f>C33/D33</f>
        <v>4.7902739773475105</v>
      </c>
    </row>
    <row r="34" spans="2:10" x14ac:dyDescent="0.25">
      <c r="B34" s="13" t="s">
        <v>29</v>
      </c>
      <c r="C34" s="20">
        <f>Q5/O5</f>
        <v>2.7852583746571822E-2</v>
      </c>
      <c r="D34" s="20">
        <v>2.5000000000000001E-3</v>
      </c>
      <c r="E34" s="25">
        <f>C34/D34</f>
        <v>11.141033498628728</v>
      </c>
    </row>
    <row r="35" spans="2:10" x14ac:dyDescent="0.25">
      <c r="B35" s="16" t="s">
        <v>31</v>
      </c>
      <c r="C35" s="23">
        <f>Q6/O6</f>
        <v>1.608911486611117E-2</v>
      </c>
      <c r="D35" s="23">
        <v>2.5000000000000001E-3</v>
      </c>
      <c r="E35" s="26">
        <f>C35/D35</f>
        <v>6.4356459464444677</v>
      </c>
    </row>
    <row r="37" spans="2:10" x14ac:dyDescent="0.25">
      <c r="B37" s="29" t="s">
        <v>59</v>
      </c>
      <c r="C37" s="29"/>
      <c r="D37" s="29"/>
      <c r="E37" s="29"/>
      <c r="F37" s="29"/>
      <c r="G37" s="29"/>
      <c r="H37" s="29"/>
      <c r="I37" s="29"/>
      <c r="J37" s="29"/>
    </row>
  </sheetData>
  <mergeCells count="27">
    <mergeCell ref="B31:J31"/>
    <mergeCell ref="B37:J37"/>
    <mergeCell ref="B14:C14"/>
    <mergeCell ref="H14:I14"/>
    <mergeCell ref="B16:J16"/>
    <mergeCell ref="B22:J22"/>
    <mergeCell ref="B24:J24"/>
    <mergeCell ref="B11:C11"/>
    <mergeCell ref="D11:E11"/>
    <mergeCell ref="F11:G11"/>
    <mergeCell ref="H11:I11"/>
    <mergeCell ref="B12:C13"/>
    <mergeCell ref="D12:E13"/>
    <mergeCell ref="F12:G13"/>
    <mergeCell ref="H12:I13"/>
    <mergeCell ref="B8:C9"/>
    <mergeCell ref="D8:E9"/>
    <mergeCell ref="F8:G9"/>
    <mergeCell ref="H8:I9"/>
    <mergeCell ref="F10:G10"/>
    <mergeCell ref="B2:J3"/>
    <mergeCell ref="B4:J4"/>
    <mergeCell ref="B6:J6"/>
    <mergeCell ref="B7:C7"/>
    <mergeCell ref="D7:E7"/>
    <mergeCell ref="F7:G7"/>
    <mergeCell ref="H7:I7"/>
  </mergeCells>
  <pageMargins left="0.3" right="0.3" top="0.4" bottom="0.4"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H29"/>
  <sheetViews>
    <sheetView showGridLines="0" zoomScaleNormal="100" workbookViewId="0">
      <selection activeCell="A12" sqref="A12"/>
    </sheetView>
  </sheetViews>
  <sheetFormatPr defaultColWidth="8.7109375" defaultRowHeight="15" x14ac:dyDescent="0.25"/>
  <cols>
    <col min="1" max="1" width="3" customWidth="1"/>
    <col min="2" max="9" width="14" customWidth="1"/>
  </cols>
  <sheetData>
    <row r="2" spans="2:8" ht="31.5" customHeight="1" x14ac:dyDescent="0.25">
      <c r="B2" s="9" t="s">
        <v>60</v>
      </c>
      <c r="C2" s="9"/>
      <c r="D2" s="9"/>
      <c r="E2" s="9"/>
      <c r="F2" s="9"/>
      <c r="G2" s="9"/>
      <c r="H2" s="9"/>
    </row>
    <row r="3" spans="2:8" x14ac:dyDescent="0.25">
      <c r="B3" s="9"/>
      <c r="C3" s="9"/>
      <c r="D3" s="9"/>
      <c r="E3" s="9"/>
      <c r="F3" s="9"/>
      <c r="G3" s="9"/>
      <c r="H3" s="9"/>
    </row>
    <row r="4" spans="2:8" x14ac:dyDescent="0.25">
      <c r="B4" s="8" t="s">
        <v>61</v>
      </c>
      <c r="C4" s="8"/>
      <c r="D4" s="8"/>
      <c r="E4" s="8"/>
      <c r="F4" s="8"/>
      <c r="G4" s="8"/>
      <c r="H4" s="8"/>
    </row>
    <row r="6" spans="2:8" ht="25.5" x14ac:dyDescent="0.25">
      <c r="B6" s="12" t="s">
        <v>62</v>
      </c>
      <c r="C6" s="12" t="s">
        <v>18</v>
      </c>
      <c r="D6" s="12" t="s">
        <v>19</v>
      </c>
      <c r="E6" s="12" t="s">
        <v>21</v>
      </c>
      <c r="F6" s="12" t="s">
        <v>20</v>
      </c>
      <c r="G6" s="12" t="s">
        <v>37</v>
      </c>
      <c r="H6" s="12" t="s">
        <v>50</v>
      </c>
    </row>
    <row r="7" spans="2:8" x14ac:dyDescent="0.25">
      <c r="B7" s="27">
        <v>46224</v>
      </c>
      <c r="C7" s="14">
        <v>21975</v>
      </c>
      <c r="D7" s="14">
        <v>11032</v>
      </c>
      <c r="E7" s="21">
        <v>117.52</v>
      </c>
      <c r="F7" s="14">
        <v>181</v>
      </c>
      <c r="G7" s="20">
        <f t="shared" ref="G7:G27" si="0">F7/C7</f>
        <v>8.2366325369738341E-3</v>
      </c>
      <c r="H7" s="19">
        <f t="shared" ref="H7:H27" si="1">C7/D7</f>
        <v>1.9919325598259607</v>
      </c>
    </row>
    <row r="8" spans="2:8" x14ac:dyDescent="0.25">
      <c r="B8" s="27">
        <v>46225</v>
      </c>
      <c r="C8" s="14">
        <v>63004</v>
      </c>
      <c r="D8" s="14">
        <v>30228</v>
      </c>
      <c r="E8" s="21">
        <v>250.88</v>
      </c>
      <c r="F8" s="14">
        <v>511</v>
      </c>
      <c r="G8" s="20">
        <f t="shared" si="0"/>
        <v>8.1105961526252296E-3</v>
      </c>
      <c r="H8" s="19">
        <f t="shared" si="1"/>
        <v>2.0842927087468572</v>
      </c>
    </row>
    <row r="9" spans="2:8" x14ac:dyDescent="0.25">
      <c r="B9" s="27">
        <v>46226</v>
      </c>
      <c r="C9" s="14">
        <v>87452</v>
      </c>
      <c r="D9" s="14">
        <v>42246</v>
      </c>
      <c r="E9" s="21">
        <v>376.42</v>
      </c>
      <c r="F9" s="14">
        <v>594</v>
      </c>
      <c r="G9" s="20">
        <f t="shared" si="0"/>
        <v>6.7922974889082013E-3</v>
      </c>
      <c r="H9" s="19">
        <f t="shared" si="1"/>
        <v>2.0700658050466316</v>
      </c>
    </row>
    <row r="10" spans="2:8" x14ac:dyDescent="0.25">
      <c r="B10" s="27">
        <v>46227</v>
      </c>
      <c r="C10" s="14">
        <v>15880</v>
      </c>
      <c r="D10" s="14">
        <v>6349</v>
      </c>
      <c r="E10" s="21">
        <v>84.62</v>
      </c>
      <c r="F10" s="14">
        <v>72</v>
      </c>
      <c r="G10" s="20">
        <f t="shared" si="0"/>
        <v>4.5340050377833752E-3</v>
      </c>
      <c r="H10" s="19">
        <f t="shared" si="1"/>
        <v>2.5011812883918729</v>
      </c>
    </row>
    <row r="11" spans="2:8" x14ac:dyDescent="0.25">
      <c r="B11" s="27">
        <v>46228</v>
      </c>
      <c r="C11" s="14">
        <v>40502</v>
      </c>
      <c r="D11" s="14">
        <v>29648</v>
      </c>
      <c r="E11" s="21">
        <v>204.53</v>
      </c>
      <c r="F11" s="14">
        <v>310</v>
      </c>
      <c r="G11" s="20">
        <f t="shared" si="0"/>
        <v>7.6539430151597448E-3</v>
      </c>
      <c r="H11" s="19">
        <f t="shared" si="1"/>
        <v>1.3660955207771182</v>
      </c>
    </row>
    <row r="12" spans="2:8" x14ac:dyDescent="0.25">
      <c r="B12" s="27">
        <v>46229</v>
      </c>
      <c r="C12" s="14">
        <v>44920</v>
      </c>
      <c r="D12" s="14">
        <v>38462</v>
      </c>
      <c r="E12" s="21">
        <v>205.27</v>
      </c>
      <c r="F12" s="14">
        <v>491</v>
      </c>
      <c r="G12" s="20">
        <f t="shared" si="0"/>
        <v>1.0930543187889582E-2</v>
      </c>
      <c r="H12" s="19">
        <f t="shared" si="1"/>
        <v>1.1679059851281786</v>
      </c>
    </row>
    <row r="13" spans="2:8" x14ac:dyDescent="0.25">
      <c r="B13" s="27">
        <v>46230</v>
      </c>
      <c r="C13" s="14">
        <v>38604</v>
      </c>
      <c r="D13" s="14">
        <v>22182</v>
      </c>
      <c r="E13" s="21">
        <v>203.87</v>
      </c>
      <c r="F13" s="14">
        <v>655</v>
      </c>
      <c r="G13" s="20">
        <f t="shared" si="0"/>
        <v>1.6967153662832867E-2</v>
      </c>
      <c r="H13" s="19">
        <f t="shared" si="1"/>
        <v>1.7403299972951041</v>
      </c>
    </row>
    <row r="14" spans="2:8" x14ac:dyDescent="0.25">
      <c r="B14" s="27">
        <v>46231</v>
      </c>
      <c r="C14" s="14">
        <v>42030</v>
      </c>
      <c r="D14" s="14">
        <v>26041</v>
      </c>
      <c r="E14" s="21">
        <v>235.22</v>
      </c>
      <c r="F14" s="14">
        <v>604</v>
      </c>
      <c r="G14" s="20">
        <f t="shared" si="0"/>
        <v>1.4370687604092314E-2</v>
      </c>
      <c r="H14" s="19">
        <f t="shared" si="1"/>
        <v>1.6139933182289468</v>
      </c>
    </row>
    <row r="15" spans="2:8" x14ac:dyDescent="0.25">
      <c r="B15" s="27">
        <v>46232</v>
      </c>
      <c r="C15" s="14">
        <v>38221</v>
      </c>
      <c r="D15" s="14">
        <v>24926</v>
      </c>
      <c r="E15" s="21">
        <v>297.69</v>
      </c>
      <c r="F15" s="14">
        <v>800</v>
      </c>
      <c r="G15" s="20">
        <f t="shared" si="0"/>
        <v>2.0930901860233903E-2</v>
      </c>
      <c r="H15" s="19">
        <f t="shared" si="1"/>
        <v>1.5333788012517051</v>
      </c>
    </row>
    <row r="16" spans="2:8" x14ac:dyDescent="0.25">
      <c r="B16" s="27">
        <v>46233</v>
      </c>
      <c r="C16" s="14">
        <v>36085</v>
      </c>
      <c r="D16" s="14">
        <v>19213</v>
      </c>
      <c r="E16" s="21">
        <v>244.55</v>
      </c>
      <c r="F16" s="14">
        <v>635</v>
      </c>
      <c r="G16" s="20">
        <f t="shared" si="0"/>
        <v>1.7597339614798393E-2</v>
      </c>
      <c r="H16" s="19">
        <f t="shared" si="1"/>
        <v>1.8781554156040181</v>
      </c>
    </row>
    <row r="17" spans="2:8" x14ac:dyDescent="0.25">
      <c r="B17" s="27">
        <v>46234</v>
      </c>
      <c r="C17" s="14">
        <v>32651</v>
      </c>
      <c r="D17" s="14">
        <v>26318</v>
      </c>
      <c r="E17" s="21">
        <v>107.71</v>
      </c>
      <c r="F17" s="14">
        <v>661</v>
      </c>
      <c r="G17" s="20">
        <f t="shared" si="0"/>
        <v>2.0244402927934824E-2</v>
      </c>
      <c r="H17" s="19">
        <f t="shared" si="1"/>
        <v>1.2406337867619119</v>
      </c>
    </row>
    <row r="18" spans="2:8" x14ac:dyDescent="0.25">
      <c r="B18" s="27">
        <v>46235</v>
      </c>
      <c r="C18" s="14">
        <v>612</v>
      </c>
      <c r="D18" s="14">
        <v>419</v>
      </c>
      <c r="E18" s="21">
        <v>22</v>
      </c>
      <c r="F18" s="14">
        <v>18</v>
      </c>
      <c r="G18" s="20">
        <f t="shared" si="0"/>
        <v>2.9411764705882353E-2</v>
      </c>
      <c r="H18" s="19">
        <f t="shared" si="1"/>
        <v>1.4606205250596658</v>
      </c>
    </row>
    <row r="19" spans="2:8" x14ac:dyDescent="0.25">
      <c r="B19" s="27">
        <v>46238</v>
      </c>
      <c r="C19" s="14">
        <v>24374</v>
      </c>
      <c r="D19" s="14">
        <v>19286</v>
      </c>
      <c r="E19" s="21">
        <v>124.46</v>
      </c>
      <c r="F19" s="14">
        <v>499</v>
      </c>
      <c r="G19" s="20">
        <f t="shared" si="0"/>
        <v>2.0472634774759989E-2</v>
      </c>
      <c r="H19" s="19">
        <f t="shared" si="1"/>
        <v>1.2638183138027586</v>
      </c>
    </row>
    <row r="20" spans="2:8" x14ac:dyDescent="0.25">
      <c r="B20" s="27">
        <v>46239</v>
      </c>
      <c r="C20" s="14">
        <v>21363</v>
      </c>
      <c r="D20" s="14">
        <v>16049</v>
      </c>
      <c r="E20" s="21">
        <v>111.46</v>
      </c>
      <c r="F20" s="14">
        <v>544</v>
      </c>
      <c r="G20" s="20">
        <f t="shared" si="0"/>
        <v>2.5464588306885735E-2</v>
      </c>
      <c r="H20" s="19">
        <f t="shared" si="1"/>
        <v>1.3311109726462709</v>
      </c>
    </row>
    <row r="21" spans="2:8" x14ac:dyDescent="0.25">
      <c r="B21" s="27">
        <v>46240</v>
      </c>
      <c r="C21" s="14">
        <v>20996</v>
      </c>
      <c r="D21" s="14">
        <v>16056</v>
      </c>
      <c r="E21" s="21">
        <v>110.42</v>
      </c>
      <c r="F21" s="14">
        <v>445</v>
      </c>
      <c r="G21" s="20">
        <f t="shared" si="0"/>
        <v>2.119451324061726E-2</v>
      </c>
      <c r="H21" s="19">
        <f t="shared" si="1"/>
        <v>1.3076731439960139</v>
      </c>
    </row>
    <row r="22" spans="2:8" x14ac:dyDescent="0.25">
      <c r="B22" s="27">
        <v>46241</v>
      </c>
      <c r="C22" s="14">
        <v>21176</v>
      </c>
      <c r="D22" s="14">
        <v>15467</v>
      </c>
      <c r="E22" s="21">
        <v>111.6</v>
      </c>
      <c r="F22" s="14">
        <v>571</v>
      </c>
      <c r="G22" s="20">
        <f t="shared" si="0"/>
        <v>2.6964488099735548E-2</v>
      </c>
      <c r="H22" s="19">
        <f t="shared" si="1"/>
        <v>1.3691084243874054</v>
      </c>
    </row>
    <row r="23" spans="2:8" x14ac:dyDescent="0.25">
      <c r="B23" s="27">
        <v>46242</v>
      </c>
      <c r="C23" s="14">
        <v>21486</v>
      </c>
      <c r="D23" s="14">
        <v>15494</v>
      </c>
      <c r="E23" s="21">
        <v>102.07</v>
      </c>
      <c r="F23" s="14">
        <v>622</v>
      </c>
      <c r="G23" s="20">
        <f t="shared" si="0"/>
        <v>2.8949083123894628E-2</v>
      </c>
      <c r="H23" s="19">
        <f t="shared" si="1"/>
        <v>1.3867303472311863</v>
      </c>
    </row>
    <row r="24" spans="2:8" x14ac:dyDescent="0.25">
      <c r="B24" s="27">
        <v>46243</v>
      </c>
      <c r="C24" s="14">
        <v>19600</v>
      </c>
      <c r="D24" s="14">
        <v>13167</v>
      </c>
      <c r="E24" s="21">
        <v>95.71</v>
      </c>
      <c r="F24" s="14">
        <v>666</v>
      </c>
      <c r="G24" s="20">
        <f t="shared" si="0"/>
        <v>3.3979591836734692E-2</v>
      </c>
      <c r="H24" s="19">
        <f t="shared" si="1"/>
        <v>1.4885699096225411</v>
      </c>
    </row>
    <row r="25" spans="2:8" x14ac:dyDescent="0.25">
      <c r="B25" s="27">
        <v>46244</v>
      </c>
      <c r="C25" s="14">
        <v>14893</v>
      </c>
      <c r="D25" s="14">
        <v>10178</v>
      </c>
      <c r="E25" s="21">
        <v>75.209999999999994</v>
      </c>
      <c r="F25" s="14">
        <v>527</v>
      </c>
      <c r="G25" s="20">
        <f t="shared" si="0"/>
        <v>3.5385751695427382E-2</v>
      </c>
      <c r="H25" s="19">
        <f t="shared" si="1"/>
        <v>1.4632540774218903</v>
      </c>
    </row>
    <row r="26" spans="2:8" x14ac:dyDescent="0.25">
      <c r="B26" s="27">
        <v>46245</v>
      </c>
      <c r="C26" s="14">
        <v>17983</v>
      </c>
      <c r="D26" s="14">
        <v>12071</v>
      </c>
      <c r="E26" s="21">
        <v>88.91</v>
      </c>
      <c r="F26" s="14">
        <v>627</v>
      </c>
      <c r="G26" s="20">
        <f t="shared" si="0"/>
        <v>3.4866262581326808E-2</v>
      </c>
      <c r="H26" s="19">
        <f t="shared" si="1"/>
        <v>1.4897688675337586</v>
      </c>
    </row>
    <row r="27" spans="2:8" x14ac:dyDescent="0.25">
      <c r="B27" s="16" t="s">
        <v>31</v>
      </c>
      <c r="C27" s="17">
        <f>SUM(C7:C26)</f>
        <v>623807</v>
      </c>
      <c r="D27" s="17">
        <f>SUM(D7:D26)</f>
        <v>394832</v>
      </c>
      <c r="E27" s="24">
        <f>SUM(E7:E26)</f>
        <v>3170.1200000000003</v>
      </c>
      <c r="F27" s="17">
        <f>SUM(F7:F26)</f>
        <v>10033</v>
      </c>
      <c r="G27" s="23">
        <f t="shared" si="0"/>
        <v>1.6083500185153421E-2</v>
      </c>
      <c r="H27" s="22">
        <f t="shared" si="1"/>
        <v>1.5799301981602303</v>
      </c>
    </row>
    <row r="29" spans="2:8" ht="27.75" customHeight="1" x14ac:dyDescent="0.25">
      <c r="B29" s="29" t="s">
        <v>63</v>
      </c>
      <c r="C29" s="29"/>
      <c r="D29" s="29"/>
      <c r="E29" s="29"/>
      <c r="F29" s="29"/>
      <c r="G29" s="29"/>
      <c r="H29" s="29"/>
    </row>
  </sheetData>
  <mergeCells count="3">
    <mergeCell ref="B2:H3"/>
    <mergeCell ref="B4:H4"/>
    <mergeCell ref="B29:H29"/>
  </mergeCells>
  <pageMargins left="0.3" right="0.3" top="0.4" bottom="0.4" header="0.511811023622047" footer="0.511811023622047"/>
  <pageSetup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J39"/>
  <sheetViews>
    <sheetView showGridLines="0" zoomScaleNormal="100" workbookViewId="0"/>
  </sheetViews>
  <sheetFormatPr defaultColWidth="8.7109375" defaultRowHeight="15" x14ac:dyDescent="0.25"/>
  <cols>
    <col min="1" max="1" width="3" customWidth="1"/>
    <col min="2" max="2" width="20" customWidth="1"/>
    <col min="3" max="10" width="12" customWidth="1"/>
  </cols>
  <sheetData>
    <row r="2" spans="2:10" ht="31.5" customHeight="1" x14ac:dyDescent="0.25">
      <c r="B2" s="9" t="s">
        <v>64</v>
      </c>
      <c r="C2" s="9"/>
      <c r="D2" s="9"/>
      <c r="E2" s="9"/>
      <c r="F2" s="9"/>
      <c r="G2" s="9"/>
      <c r="H2" s="9"/>
      <c r="I2" s="9"/>
      <c r="J2" s="9"/>
    </row>
    <row r="3" spans="2:10" x14ac:dyDescent="0.25">
      <c r="B3" s="9"/>
      <c r="C3" s="9"/>
      <c r="D3" s="9"/>
      <c r="E3" s="9"/>
      <c r="F3" s="9"/>
      <c r="G3" s="9"/>
      <c r="H3" s="9"/>
      <c r="I3" s="9"/>
      <c r="J3" s="9"/>
    </row>
    <row r="4" spans="2:10" x14ac:dyDescent="0.25">
      <c r="B4" s="8" t="s">
        <v>65</v>
      </c>
      <c r="C4" s="8"/>
      <c r="D4" s="8"/>
      <c r="E4" s="8"/>
      <c r="F4" s="8"/>
      <c r="G4" s="8"/>
      <c r="H4" s="8"/>
      <c r="I4" s="8"/>
      <c r="J4" s="8"/>
    </row>
    <row r="6" spans="2:10" ht="21.75" customHeight="1" x14ac:dyDescent="0.25">
      <c r="B6" s="30" t="s">
        <v>66</v>
      </c>
      <c r="C6" s="30"/>
      <c r="D6" s="30"/>
      <c r="E6" s="30"/>
      <c r="F6" s="30"/>
      <c r="G6" s="30"/>
      <c r="H6" s="30"/>
      <c r="I6" s="30"/>
      <c r="J6" s="30"/>
    </row>
    <row r="7" spans="2:10" ht="25.5" x14ac:dyDescent="0.25">
      <c r="B7" s="12" t="s">
        <v>67</v>
      </c>
      <c r="C7" s="12" t="s">
        <v>18</v>
      </c>
      <c r="D7" s="12" t="s">
        <v>68</v>
      </c>
      <c r="E7" s="12" t="s">
        <v>20</v>
      </c>
      <c r="F7" s="12" t="s">
        <v>37</v>
      </c>
      <c r="G7" s="12" t="s">
        <v>19</v>
      </c>
      <c r="H7" s="12" t="s">
        <v>69</v>
      </c>
      <c r="I7" s="12" t="s">
        <v>54</v>
      </c>
      <c r="J7" s="12" t="s">
        <v>70</v>
      </c>
    </row>
    <row r="8" spans="2:10" x14ac:dyDescent="0.25">
      <c r="B8" s="28" t="s">
        <v>71</v>
      </c>
      <c r="C8" s="14">
        <v>245383</v>
      </c>
      <c r="D8" s="15">
        <f>C8/623465</f>
        <v>0.39357943108273918</v>
      </c>
      <c r="E8" s="14">
        <v>3401</v>
      </c>
      <c r="F8" s="20">
        <f>E8/C8</f>
        <v>1.3859965849304963E-2</v>
      </c>
      <c r="G8" s="14">
        <v>174967</v>
      </c>
      <c r="H8" s="15">
        <f>G8/SUM($G$8:$G$11)</f>
        <v>0.37970186696643454</v>
      </c>
      <c r="I8" s="14">
        <v>224425</v>
      </c>
      <c r="J8" s="15">
        <f>I8/C8</f>
        <v>0.91459066031469172</v>
      </c>
    </row>
    <row r="9" spans="2:10" x14ac:dyDescent="0.25">
      <c r="B9" s="28" t="s">
        <v>72</v>
      </c>
      <c r="C9" s="14">
        <v>196316</v>
      </c>
      <c r="D9" s="15">
        <f>C9/623465</f>
        <v>0.31487894268323002</v>
      </c>
      <c r="E9" s="14">
        <v>2746</v>
      </c>
      <c r="F9" s="20">
        <f>E9/C9</f>
        <v>1.3987652560158112E-2</v>
      </c>
      <c r="G9" s="14">
        <v>151629</v>
      </c>
      <c r="H9" s="15">
        <f>G9/SUM($G$8:$G$11)</f>
        <v>0.32905527548768343</v>
      </c>
      <c r="I9" s="14">
        <v>180385</v>
      </c>
      <c r="J9" s="15">
        <f>I9/C9</f>
        <v>0.91885022107214898</v>
      </c>
    </row>
    <row r="10" spans="2:10" x14ac:dyDescent="0.25">
      <c r="B10" s="28" t="s">
        <v>73</v>
      </c>
      <c r="C10" s="14">
        <v>98750</v>
      </c>
      <c r="D10" s="15">
        <f>C10/623465</f>
        <v>0.15838900339233156</v>
      </c>
      <c r="E10" s="14">
        <v>2551</v>
      </c>
      <c r="F10" s="20">
        <f>E10/C10</f>
        <v>2.5832911392405063E-2</v>
      </c>
      <c r="G10" s="14">
        <v>69682</v>
      </c>
      <c r="H10" s="15">
        <f>G10/SUM($G$8:$G$11)</f>
        <v>0.15121928988869382</v>
      </c>
      <c r="I10" s="14">
        <v>91439</v>
      </c>
      <c r="J10" s="15">
        <f>I10/C10</f>
        <v>0.92596455696202529</v>
      </c>
    </row>
    <row r="11" spans="2:10" x14ac:dyDescent="0.25">
      <c r="B11" s="28" t="s">
        <v>74</v>
      </c>
      <c r="C11" s="14">
        <v>83016</v>
      </c>
      <c r="D11" s="15">
        <f>C11/623465</f>
        <v>0.13315262284169921</v>
      </c>
      <c r="E11" s="14">
        <v>1332</v>
      </c>
      <c r="F11" s="20">
        <f>E11/C11</f>
        <v>1.6045099739809193E-2</v>
      </c>
      <c r="G11" s="14">
        <v>64523</v>
      </c>
      <c r="H11" s="15">
        <f>G11/SUM($G$8:$G$11)</f>
        <v>0.14002356765718824</v>
      </c>
      <c r="I11" s="14">
        <v>76770</v>
      </c>
      <c r="J11" s="15">
        <f>I11/C11</f>
        <v>0.9247614917606245</v>
      </c>
    </row>
    <row r="12" spans="2:10" x14ac:dyDescent="0.25">
      <c r="B12" s="29" t="s">
        <v>75</v>
      </c>
      <c r="C12" s="29"/>
      <c r="D12" s="29"/>
      <c r="E12" s="29"/>
      <c r="F12" s="29"/>
      <c r="G12" s="29"/>
      <c r="H12" s="29"/>
      <c r="I12" s="29"/>
      <c r="J12" s="29"/>
    </row>
    <row r="34" spans="2:10" ht="21.75" customHeight="1" x14ac:dyDescent="0.25">
      <c r="B34" s="30" t="s">
        <v>76</v>
      </c>
      <c r="C34" s="30"/>
      <c r="D34" s="30"/>
      <c r="E34" s="30"/>
      <c r="F34" s="30"/>
      <c r="G34" s="30"/>
      <c r="H34" s="30"/>
      <c r="I34" s="30"/>
      <c r="J34" s="30"/>
    </row>
    <row r="35" spans="2:10" ht="25.5" x14ac:dyDescent="0.25">
      <c r="B35" s="12" t="s">
        <v>67</v>
      </c>
      <c r="C35" s="12" t="s">
        <v>18</v>
      </c>
      <c r="D35" s="12" t="s">
        <v>68</v>
      </c>
      <c r="E35" s="12" t="s">
        <v>20</v>
      </c>
      <c r="F35" s="12" t="s">
        <v>37</v>
      </c>
      <c r="G35" s="12" t="s">
        <v>19</v>
      </c>
      <c r="H35" s="12" t="s">
        <v>69</v>
      </c>
      <c r="I35" s="12" t="s">
        <v>54</v>
      </c>
      <c r="J35" s="12" t="s">
        <v>70</v>
      </c>
    </row>
    <row r="36" spans="2:10" x14ac:dyDescent="0.25">
      <c r="B36" s="28" t="s">
        <v>77</v>
      </c>
      <c r="C36" s="14">
        <v>332245</v>
      </c>
      <c r="D36" s="15">
        <f>C36/623465</f>
        <v>0.53290080437554632</v>
      </c>
      <c r="E36" s="14">
        <v>5456</v>
      </c>
      <c r="F36" s="20">
        <f>E36/C36</f>
        <v>1.6421616578127587E-2</v>
      </c>
      <c r="G36" s="14">
        <v>240610</v>
      </c>
      <c r="H36" s="15">
        <f>G36/SUM($G$36:$G$38)</f>
        <v>0.52219904810065043</v>
      </c>
      <c r="I36" s="14">
        <v>304971</v>
      </c>
      <c r="J36" s="15">
        <f>I36/C36</f>
        <v>0.91790997607187463</v>
      </c>
    </row>
    <row r="37" spans="2:10" x14ac:dyDescent="0.25">
      <c r="B37" s="28" t="s">
        <v>78</v>
      </c>
      <c r="C37" s="14">
        <v>282457</v>
      </c>
      <c r="D37" s="15">
        <f>C37/623465</f>
        <v>0.45304387575886379</v>
      </c>
      <c r="E37" s="14">
        <v>4449</v>
      </c>
      <c r="F37" s="20">
        <f>E37/C37</f>
        <v>1.5751070074383002E-2</v>
      </c>
      <c r="G37" s="14">
        <v>213754</v>
      </c>
      <c r="H37" s="15">
        <f>G37/SUM($G$36:$G$38)</f>
        <v>0.46391311802379964</v>
      </c>
      <c r="I37" s="14">
        <v>260022</v>
      </c>
      <c r="J37" s="15">
        <f>I37/C37</f>
        <v>0.92057198086788428</v>
      </c>
    </row>
    <row r="38" spans="2:10" x14ac:dyDescent="0.25">
      <c r="B38" s="28" t="s">
        <v>79</v>
      </c>
      <c r="C38" s="14">
        <v>8763</v>
      </c>
      <c r="D38" s="15">
        <f>C38/623465</f>
        <v>1.4055319865589888E-2</v>
      </c>
      <c r="E38" s="14">
        <v>126</v>
      </c>
      <c r="F38" s="20">
        <f>E38/C38</f>
        <v>1.4378637452927079E-2</v>
      </c>
      <c r="G38" s="14">
        <v>6399</v>
      </c>
      <c r="H38" s="15">
        <f>G38/SUM($G$36:$G$38)</f>
        <v>1.3887833875549904E-2</v>
      </c>
      <c r="I38" s="14">
        <v>8042</v>
      </c>
      <c r="J38" s="15">
        <f>I38/C38</f>
        <v>0.91772224124158397</v>
      </c>
    </row>
    <row r="39" spans="2:10" x14ac:dyDescent="0.25">
      <c r="B39" s="29" t="s">
        <v>75</v>
      </c>
      <c r="C39" s="29"/>
      <c r="D39" s="29"/>
      <c r="E39" s="29"/>
      <c r="F39" s="29"/>
      <c r="G39" s="29"/>
      <c r="H39" s="29"/>
      <c r="I39" s="29"/>
      <c r="J39" s="29"/>
    </row>
  </sheetData>
  <mergeCells count="6">
    <mergeCell ref="B39:J39"/>
    <mergeCell ref="B2:J3"/>
    <mergeCell ref="B4:J4"/>
    <mergeCell ref="B6:J6"/>
    <mergeCell ref="B12:J12"/>
    <mergeCell ref="B34:J34"/>
  </mergeCells>
  <pageMargins left="0.3" right="0.3" top="0.4" bottom="0.4"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J86"/>
  <sheetViews>
    <sheetView showGridLines="0" zoomScaleNormal="100" workbookViewId="0">
      <selection activeCell="K11" sqref="K11"/>
    </sheetView>
  </sheetViews>
  <sheetFormatPr defaultColWidth="8.7109375" defaultRowHeight="15" x14ac:dyDescent="0.25"/>
  <cols>
    <col min="1" max="1" width="3" customWidth="1"/>
    <col min="2" max="2" width="20" customWidth="1"/>
    <col min="3" max="10" width="12" customWidth="1"/>
  </cols>
  <sheetData>
    <row r="2" spans="2:10" ht="31.5" customHeight="1" x14ac:dyDescent="0.25">
      <c r="B2" s="31" t="s">
        <v>80</v>
      </c>
      <c r="C2" s="31"/>
      <c r="D2" s="31"/>
      <c r="E2" s="31"/>
      <c r="F2" s="31"/>
      <c r="G2" s="31"/>
      <c r="H2" s="31"/>
      <c r="I2" s="31"/>
      <c r="J2" s="31"/>
    </row>
    <row r="3" spans="2:10" x14ac:dyDescent="0.25">
      <c r="B3" s="31"/>
      <c r="C3" s="31"/>
      <c r="D3" s="31"/>
      <c r="E3" s="31"/>
      <c r="F3" s="31"/>
      <c r="G3" s="31"/>
      <c r="H3" s="31"/>
      <c r="I3" s="31"/>
      <c r="J3" s="31"/>
    </row>
    <row r="4" spans="2:10" x14ac:dyDescent="0.25">
      <c r="B4" s="8" t="s">
        <v>81</v>
      </c>
      <c r="C4" s="8"/>
      <c r="D4" s="8"/>
      <c r="E4" s="8"/>
      <c r="F4" s="8"/>
      <c r="G4" s="8"/>
      <c r="H4" s="8"/>
      <c r="I4" s="8"/>
      <c r="J4" s="8"/>
    </row>
    <row r="6" spans="2:10" ht="21.75" customHeight="1" x14ac:dyDescent="0.25">
      <c r="B6" s="30" t="s">
        <v>82</v>
      </c>
      <c r="C6" s="30"/>
      <c r="D6" s="30"/>
      <c r="E6" s="30"/>
      <c r="F6" s="30"/>
      <c r="G6" s="30"/>
      <c r="H6" s="30"/>
      <c r="I6" s="30"/>
      <c r="J6" s="30"/>
    </row>
    <row r="7" spans="2:10" ht="25.5" x14ac:dyDescent="0.25">
      <c r="B7" s="12" t="s">
        <v>67</v>
      </c>
      <c r="C7" s="12" t="s">
        <v>18</v>
      </c>
      <c r="D7" s="12" t="s">
        <v>68</v>
      </c>
      <c r="E7" s="12" t="s">
        <v>20</v>
      </c>
      <c r="F7" s="12" t="s">
        <v>37</v>
      </c>
      <c r="G7" s="12" t="s">
        <v>19</v>
      </c>
      <c r="H7" s="12" t="s">
        <v>69</v>
      </c>
      <c r="I7" s="12" t="s">
        <v>54</v>
      </c>
      <c r="J7" s="12" t="s">
        <v>70</v>
      </c>
    </row>
    <row r="8" spans="2:10" x14ac:dyDescent="0.25">
      <c r="B8" s="28" t="s">
        <v>83</v>
      </c>
      <c r="C8" s="14">
        <v>129914</v>
      </c>
      <c r="D8" s="15">
        <f t="shared" ref="D8:D17" si="0">C8/623465</f>
        <v>0.20837416695403913</v>
      </c>
      <c r="E8" s="14">
        <v>2055</v>
      </c>
      <c r="F8" s="20">
        <f t="shared" ref="F8:F17" si="1">E8/C8</f>
        <v>1.5818156626691504E-2</v>
      </c>
      <c r="G8" s="14">
        <v>97237</v>
      </c>
      <c r="H8" s="15">
        <f t="shared" ref="H8:H17" si="2">G8/SUM($G$8:$G$17)</f>
        <v>0.25953951934061475</v>
      </c>
      <c r="I8" s="14">
        <v>119958</v>
      </c>
      <c r="J8" s="15">
        <f t="shared" ref="J8:J17" si="3">I8/C8</f>
        <v>0.92336468740859334</v>
      </c>
    </row>
    <row r="9" spans="2:10" x14ac:dyDescent="0.25">
      <c r="B9" s="28" t="s">
        <v>84</v>
      </c>
      <c r="C9" s="14">
        <v>118512</v>
      </c>
      <c r="D9" s="15">
        <f t="shared" si="0"/>
        <v>0.19008605134209619</v>
      </c>
      <c r="E9" s="14">
        <v>1281</v>
      </c>
      <c r="F9" s="20">
        <f t="shared" si="1"/>
        <v>1.0809031996759822E-2</v>
      </c>
      <c r="G9" s="14">
        <v>90156</v>
      </c>
      <c r="H9" s="15">
        <f t="shared" si="2"/>
        <v>0.24063931328272636</v>
      </c>
      <c r="I9" s="14">
        <v>108846</v>
      </c>
      <c r="J9" s="15">
        <f t="shared" si="3"/>
        <v>0.91843863912515189</v>
      </c>
    </row>
    <row r="10" spans="2:10" x14ac:dyDescent="0.25">
      <c r="B10" s="28" t="s">
        <v>85</v>
      </c>
      <c r="C10" s="14">
        <v>61593</v>
      </c>
      <c r="D10" s="15">
        <f t="shared" si="0"/>
        <v>9.8791431756393697E-2</v>
      </c>
      <c r="E10" s="14">
        <v>1085</v>
      </c>
      <c r="F10" s="20">
        <f t="shared" si="1"/>
        <v>1.7615638140697807E-2</v>
      </c>
      <c r="G10" s="14">
        <v>45776</v>
      </c>
      <c r="H10" s="15">
        <f t="shared" si="2"/>
        <v>0.12218271889646926</v>
      </c>
      <c r="I10" s="14">
        <v>56770</v>
      </c>
      <c r="J10" s="15">
        <f t="shared" si="3"/>
        <v>0.92169564723264008</v>
      </c>
    </row>
    <row r="11" spans="2:10" x14ac:dyDescent="0.25">
      <c r="B11" s="28" t="s">
        <v>86</v>
      </c>
      <c r="C11" s="14">
        <v>45335</v>
      </c>
      <c r="D11" s="15">
        <f t="shared" si="0"/>
        <v>7.2714587025735203E-2</v>
      </c>
      <c r="E11" s="14">
        <v>709</v>
      </c>
      <c r="F11" s="20">
        <f t="shared" si="1"/>
        <v>1.5639130914304623E-2</v>
      </c>
      <c r="G11" s="14">
        <v>32489</v>
      </c>
      <c r="H11" s="15">
        <f t="shared" si="2"/>
        <v>8.6717807458654969E-2</v>
      </c>
      <c r="I11" s="14">
        <v>41371</v>
      </c>
      <c r="J11" s="15">
        <f t="shared" si="3"/>
        <v>0.91256203816036174</v>
      </c>
    </row>
    <row r="12" spans="2:10" x14ac:dyDescent="0.25">
      <c r="B12" s="28" t="s">
        <v>87</v>
      </c>
      <c r="C12" s="14">
        <v>32695</v>
      </c>
      <c r="D12" s="15">
        <f t="shared" si="0"/>
        <v>5.2440794591516765E-2</v>
      </c>
      <c r="E12" s="14">
        <v>533</v>
      </c>
      <c r="F12" s="20">
        <f t="shared" si="1"/>
        <v>1.6302186878727636E-2</v>
      </c>
      <c r="G12" s="14">
        <v>23244</v>
      </c>
      <c r="H12" s="15">
        <f t="shared" si="2"/>
        <v>6.2041574581211366E-2</v>
      </c>
      <c r="I12" s="14">
        <v>30027</v>
      </c>
      <c r="J12" s="15">
        <f t="shared" si="3"/>
        <v>0.91839730845695056</v>
      </c>
    </row>
    <row r="13" spans="2:10" x14ac:dyDescent="0.25">
      <c r="B13" s="28" t="s">
        <v>88</v>
      </c>
      <c r="C13" s="14">
        <v>31634</v>
      </c>
      <c r="D13" s="15">
        <f t="shared" si="0"/>
        <v>5.0739015020891308E-2</v>
      </c>
      <c r="E13" s="14">
        <v>683</v>
      </c>
      <c r="F13" s="20">
        <f t="shared" si="1"/>
        <v>2.1590693557564645E-2</v>
      </c>
      <c r="G13" s="14">
        <v>21497</v>
      </c>
      <c r="H13" s="15">
        <f t="shared" si="2"/>
        <v>5.7378580656182274E-2</v>
      </c>
      <c r="I13" s="14">
        <v>29198</v>
      </c>
      <c r="J13" s="15">
        <f t="shared" si="3"/>
        <v>0.92299424669659225</v>
      </c>
    </row>
    <row r="14" spans="2:10" x14ac:dyDescent="0.25">
      <c r="B14" s="28" t="s">
        <v>89</v>
      </c>
      <c r="C14" s="14">
        <v>25369</v>
      </c>
      <c r="D14" s="15">
        <f t="shared" si="0"/>
        <v>4.0690335463899337E-2</v>
      </c>
      <c r="E14" s="14">
        <v>404</v>
      </c>
      <c r="F14" s="20">
        <f t="shared" si="1"/>
        <v>1.5924947770901494E-2</v>
      </c>
      <c r="G14" s="14">
        <v>20015</v>
      </c>
      <c r="H14" s="15">
        <f t="shared" si="2"/>
        <v>5.3422909793621812E-2</v>
      </c>
      <c r="I14" s="14">
        <v>23650</v>
      </c>
      <c r="J14" s="15">
        <f t="shared" si="3"/>
        <v>0.93224013559856522</v>
      </c>
    </row>
    <row r="15" spans="2:10" x14ac:dyDescent="0.25">
      <c r="B15" s="28" t="s">
        <v>90</v>
      </c>
      <c r="C15" s="14">
        <v>23265</v>
      </c>
      <c r="D15" s="15">
        <f t="shared" si="0"/>
        <v>3.7315647229595884E-2</v>
      </c>
      <c r="E15" s="14">
        <v>310</v>
      </c>
      <c r="F15" s="20">
        <f t="shared" si="1"/>
        <v>1.3324736728992048E-2</v>
      </c>
      <c r="G15" s="14">
        <v>18753</v>
      </c>
      <c r="H15" s="15">
        <f t="shared" si="2"/>
        <v>5.0054450530091922E-2</v>
      </c>
      <c r="I15" s="14">
        <v>21532</v>
      </c>
      <c r="J15" s="15">
        <f t="shared" si="3"/>
        <v>0.92551042338276379</v>
      </c>
    </row>
    <row r="16" spans="2:10" x14ac:dyDescent="0.25">
      <c r="B16" s="28" t="s">
        <v>91</v>
      </c>
      <c r="C16" s="14">
        <v>21356</v>
      </c>
      <c r="D16" s="15">
        <f t="shared" si="0"/>
        <v>3.4253727153889954E-2</v>
      </c>
      <c r="E16" s="14">
        <v>347</v>
      </c>
      <c r="F16" s="20">
        <f t="shared" si="1"/>
        <v>1.6248361116313916E-2</v>
      </c>
      <c r="G16" s="14">
        <v>15967</v>
      </c>
      <c r="H16" s="15">
        <f t="shared" si="2"/>
        <v>4.2618216371459378E-2</v>
      </c>
      <c r="I16" s="14">
        <v>19787</v>
      </c>
      <c r="J16" s="15">
        <f t="shared" si="3"/>
        <v>0.9265311856152838</v>
      </c>
    </row>
    <row r="17" spans="2:10" x14ac:dyDescent="0.25">
      <c r="B17" s="28" t="s">
        <v>92</v>
      </c>
      <c r="C17" s="14">
        <v>12714</v>
      </c>
      <c r="D17" s="15">
        <f t="shared" si="0"/>
        <v>2.0392483940558009E-2</v>
      </c>
      <c r="E17" s="14">
        <v>251</v>
      </c>
      <c r="F17" s="20">
        <f t="shared" si="1"/>
        <v>1.9742016674532011E-2</v>
      </c>
      <c r="G17" s="14">
        <v>9518</v>
      </c>
      <c r="H17" s="15">
        <f t="shared" si="2"/>
        <v>2.5404909088967895E-2</v>
      </c>
      <c r="I17" s="14">
        <v>11666</v>
      </c>
      <c r="J17" s="15">
        <f t="shared" si="3"/>
        <v>0.91757118137486238</v>
      </c>
    </row>
    <row r="18" spans="2:10" x14ac:dyDescent="0.25">
      <c r="B18" s="29" t="s">
        <v>75</v>
      </c>
      <c r="C18" s="29"/>
      <c r="D18" s="29"/>
      <c r="E18" s="29"/>
      <c r="F18" s="29"/>
      <c r="G18" s="29"/>
      <c r="H18" s="29"/>
      <c r="I18" s="29"/>
      <c r="J18" s="29"/>
    </row>
    <row r="40" spans="2:10" ht="21.75" customHeight="1" x14ac:dyDescent="0.25">
      <c r="B40" s="30" t="s">
        <v>93</v>
      </c>
      <c r="C40" s="30"/>
      <c r="D40" s="30"/>
      <c r="E40" s="30"/>
      <c r="F40" s="30"/>
      <c r="G40" s="30"/>
      <c r="H40" s="30"/>
      <c r="I40" s="30"/>
      <c r="J40" s="30"/>
    </row>
    <row r="41" spans="2:10" ht="25.5" x14ac:dyDescent="0.25">
      <c r="B41" s="12" t="s">
        <v>67</v>
      </c>
      <c r="C41" s="12" t="s">
        <v>18</v>
      </c>
      <c r="D41" s="12" t="s">
        <v>68</v>
      </c>
      <c r="E41" s="12" t="s">
        <v>20</v>
      </c>
      <c r="F41" s="12" t="s">
        <v>37</v>
      </c>
      <c r="G41" s="12" t="s">
        <v>19</v>
      </c>
      <c r="H41" s="12" t="s">
        <v>69</v>
      </c>
      <c r="I41" s="12" t="s">
        <v>54</v>
      </c>
      <c r="J41" s="12" t="s">
        <v>70</v>
      </c>
    </row>
    <row r="42" spans="2:10" x14ac:dyDescent="0.25">
      <c r="B42" s="28" t="s">
        <v>94</v>
      </c>
      <c r="C42" s="14">
        <v>129952</v>
      </c>
      <c r="D42" s="15">
        <f t="shared" ref="D42:D51" si="4">C42/623465</f>
        <v>0.20843511664648376</v>
      </c>
      <c r="E42" s="14">
        <v>2233</v>
      </c>
      <c r="F42" s="20">
        <f t="shared" ref="F42:F51" si="5">E42/C42</f>
        <v>1.7183267668062052E-2</v>
      </c>
      <c r="G42" s="14">
        <v>94335</v>
      </c>
      <c r="H42" s="15">
        <f t="shared" ref="H42:H51" si="6">G42/SUM($G$42:$G$51)</f>
        <v>0.207357014111751</v>
      </c>
      <c r="I42" s="14">
        <v>120395</v>
      </c>
      <c r="J42" s="15">
        <f t="shared" ref="J42:J51" si="7">I42/C42</f>
        <v>0.92645746121644912</v>
      </c>
    </row>
    <row r="43" spans="2:10" x14ac:dyDescent="0.25">
      <c r="B43" s="28" t="s">
        <v>95</v>
      </c>
      <c r="C43" s="14">
        <v>106825</v>
      </c>
      <c r="D43" s="15">
        <f t="shared" si="4"/>
        <v>0.17134081303681842</v>
      </c>
      <c r="E43" s="14">
        <v>1835</v>
      </c>
      <c r="F43" s="20">
        <f t="shared" si="5"/>
        <v>1.7177626959981276E-2</v>
      </c>
      <c r="G43" s="14">
        <v>78316</v>
      </c>
      <c r="H43" s="15">
        <f t="shared" si="6"/>
        <v>0.17214577746516024</v>
      </c>
      <c r="I43" s="14">
        <v>98978</v>
      </c>
      <c r="J43" s="15">
        <f t="shared" si="7"/>
        <v>0.92654341212263047</v>
      </c>
    </row>
    <row r="44" spans="2:10" x14ac:dyDescent="0.25">
      <c r="B44" s="28" t="s">
        <v>96</v>
      </c>
      <c r="C44" s="14">
        <v>71357</v>
      </c>
      <c r="D44" s="15">
        <f t="shared" si="4"/>
        <v>0.1144522948361175</v>
      </c>
      <c r="E44" s="14">
        <v>1140</v>
      </c>
      <c r="F44" s="20">
        <f t="shared" si="5"/>
        <v>1.5976007959975894E-2</v>
      </c>
      <c r="G44" s="14">
        <v>52238</v>
      </c>
      <c r="H44" s="15">
        <f t="shared" si="6"/>
        <v>0.11482393282630676</v>
      </c>
      <c r="I44" s="14">
        <v>65468</v>
      </c>
      <c r="J44" s="15">
        <f t="shared" si="7"/>
        <v>0.91747130624886131</v>
      </c>
    </row>
    <row r="45" spans="2:10" x14ac:dyDescent="0.25">
      <c r="B45" s="28" t="s">
        <v>97</v>
      </c>
      <c r="C45" s="14">
        <v>70748</v>
      </c>
      <c r="D45" s="15">
        <f t="shared" si="4"/>
        <v>0.11347549581772834</v>
      </c>
      <c r="E45" s="14">
        <v>1192</v>
      </c>
      <c r="F45" s="20">
        <f t="shared" si="5"/>
        <v>1.6848532820715779E-2</v>
      </c>
      <c r="G45" s="14">
        <v>51397</v>
      </c>
      <c r="H45" s="15">
        <f t="shared" si="6"/>
        <v>0.11297533740713062</v>
      </c>
      <c r="I45" s="14">
        <v>64764</v>
      </c>
      <c r="J45" s="15">
        <f t="shared" si="7"/>
        <v>0.91541810369197718</v>
      </c>
    </row>
    <row r="46" spans="2:10" x14ac:dyDescent="0.25">
      <c r="B46" s="28" t="s">
        <v>98</v>
      </c>
      <c r="C46" s="14">
        <v>68632</v>
      </c>
      <c r="D46" s="15">
        <f t="shared" si="4"/>
        <v>0.11008156031212658</v>
      </c>
      <c r="E46" s="14">
        <v>913</v>
      </c>
      <c r="F46" s="20">
        <f t="shared" si="5"/>
        <v>1.3302832497960135E-2</v>
      </c>
      <c r="G46" s="14">
        <v>51053</v>
      </c>
      <c r="H46" s="15">
        <f t="shared" si="6"/>
        <v>0.11221919373983383</v>
      </c>
      <c r="I46" s="14">
        <v>62947</v>
      </c>
      <c r="J46" s="15">
        <f t="shared" si="7"/>
        <v>0.91716691922135452</v>
      </c>
    </row>
    <row r="47" spans="2:10" x14ac:dyDescent="0.25">
      <c r="B47" s="28" t="s">
        <v>99</v>
      </c>
      <c r="C47" s="14">
        <v>56786</v>
      </c>
      <c r="D47" s="15">
        <f t="shared" si="4"/>
        <v>9.1081295662146233E-2</v>
      </c>
      <c r="E47" s="14">
        <v>1003</v>
      </c>
      <c r="F47" s="20">
        <f t="shared" si="5"/>
        <v>1.7662804212305851E-2</v>
      </c>
      <c r="G47" s="14">
        <v>43630</v>
      </c>
      <c r="H47" s="15">
        <f t="shared" si="6"/>
        <v>9.5902756407438339E-2</v>
      </c>
      <c r="I47" s="14">
        <v>52477</v>
      </c>
      <c r="J47" s="15">
        <f t="shared" si="7"/>
        <v>0.92411862078681362</v>
      </c>
    </row>
    <row r="48" spans="2:10" x14ac:dyDescent="0.25">
      <c r="B48" s="28" t="s">
        <v>100</v>
      </c>
      <c r="C48" s="14">
        <v>32622</v>
      </c>
      <c r="D48" s="15">
        <f t="shared" si="4"/>
        <v>5.2323707024452056E-2</v>
      </c>
      <c r="E48" s="14">
        <v>396</v>
      </c>
      <c r="F48" s="20">
        <f t="shared" si="5"/>
        <v>1.2139047268714365E-2</v>
      </c>
      <c r="G48" s="14">
        <v>24581</v>
      </c>
      <c r="H48" s="15">
        <f t="shared" si="6"/>
        <v>5.4031300830878801E-2</v>
      </c>
      <c r="I48" s="14">
        <v>29834</v>
      </c>
      <c r="J48" s="15">
        <f t="shared" si="7"/>
        <v>0.91453620256268775</v>
      </c>
    </row>
    <row r="49" spans="2:10" x14ac:dyDescent="0.25">
      <c r="B49" s="28" t="s">
        <v>101</v>
      </c>
      <c r="C49" s="14">
        <v>29987</v>
      </c>
      <c r="D49" s="15">
        <f t="shared" si="4"/>
        <v>4.8097327035198451E-2</v>
      </c>
      <c r="E49" s="14">
        <v>524</v>
      </c>
      <c r="F49" s="20">
        <f t="shared" si="5"/>
        <v>1.7474238836829293E-2</v>
      </c>
      <c r="G49" s="14">
        <v>22165</v>
      </c>
      <c r="H49" s="15">
        <f t="shared" si="6"/>
        <v>4.8720710423352527E-2</v>
      </c>
      <c r="I49" s="14">
        <v>27832</v>
      </c>
      <c r="J49" s="15">
        <f t="shared" si="7"/>
        <v>0.92813552539433752</v>
      </c>
    </row>
    <row r="50" spans="2:10" x14ac:dyDescent="0.25">
      <c r="B50" s="28" t="s">
        <v>102</v>
      </c>
      <c r="C50" s="14">
        <v>28394</v>
      </c>
      <c r="D50" s="15">
        <f t="shared" si="4"/>
        <v>4.5542251770347972E-2</v>
      </c>
      <c r="E50" s="14">
        <v>391</v>
      </c>
      <c r="F50" s="20">
        <f t="shared" si="5"/>
        <v>1.3770514897513559E-2</v>
      </c>
      <c r="G50" s="14">
        <v>21950</v>
      </c>
      <c r="H50" s="15">
        <f t="shared" si="6"/>
        <v>4.8248120631292038E-2</v>
      </c>
      <c r="I50" s="14">
        <v>26184</v>
      </c>
      <c r="J50" s="15">
        <f t="shared" si="7"/>
        <v>0.92216665492709726</v>
      </c>
    </row>
    <row r="51" spans="2:10" x14ac:dyDescent="0.25">
      <c r="B51" s="28" t="s">
        <v>103</v>
      </c>
      <c r="C51" s="14">
        <v>20623</v>
      </c>
      <c r="D51" s="15">
        <f t="shared" si="4"/>
        <v>3.3078039665418266E-2</v>
      </c>
      <c r="E51" s="14">
        <v>312</v>
      </c>
      <c r="F51" s="20">
        <f t="shared" si="5"/>
        <v>1.5128739756582457E-2</v>
      </c>
      <c r="G51" s="14">
        <v>15275</v>
      </c>
      <c r="H51" s="15">
        <f t="shared" si="6"/>
        <v>3.3575856156855849E-2</v>
      </c>
      <c r="I51" s="14">
        <v>19036</v>
      </c>
      <c r="J51" s="15">
        <f t="shared" si="7"/>
        <v>0.92304708335353736</v>
      </c>
    </row>
    <row r="52" spans="2:10" x14ac:dyDescent="0.25">
      <c r="B52" s="29" t="s">
        <v>75</v>
      </c>
      <c r="C52" s="29"/>
      <c r="D52" s="29"/>
      <c r="E52" s="29"/>
      <c r="F52" s="29"/>
      <c r="G52" s="29"/>
      <c r="H52" s="29"/>
      <c r="I52" s="29"/>
      <c r="J52" s="29"/>
    </row>
    <row r="74" spans="2:10" ht="21.75" customHeight="1" x14ac:dyDescent="0.25">
      <c r="B74" s="30" t="s">
        <v>104</v>
      </c>
      <c r="C74" s="30"/>
      <c r="D74" s="30"/>
      <c r="E74" s="30"/>
      <c r="F74" s="30"/>
      <c r="G74" s="30"/>
      <c r="H74" s="30"/>
      <c r="I74" s="30"/>
      <c r="J74" s="30"/>
    </row>
    <row r="75" spans="2:10" ht="25.5" x14ac:dyDescent="0.25">
      <c r="B75" s="12" t="s">
        <v>67</v>
      </c>
      <c r="C75" s="12" t="s">
        <v>18</v>
      </c>
      <c r="D75" s="12" t="s">
        <v>68</v>
      </c>
      <c r="E75" s="12" t="s">
        <v>20</v>
      </c>
      <c r="F75" s="12" t="s">
        <v>37</v>
      </c>
      <c r="G75" s="12" t="s">
        <v>19</v>
      </c>
      <c r="H75" s="12" t="s">
        <v>69</v>
      </c>
      <c r="I75" s="12" t="s">
        <v>54</v>
      </c>
      <c r="J75" s="12" t="s">
        <v>70</v>
      </c>
    </row>
    <row r="76" spans="2:10" x14ac:dyDescent="0.25">
      <c r="B76" s="28" t="s">
        <v>105</v>
      </c>
      <c r="C76" s="14">
        <v>145575</v>
      </c>
      <c r="D76" s="15">
        <f t="shared" ref="D76:D85" si="8">C76/623465</f>
        <v>0.23349345993760676</v>
      </c>
      <c r="E76" s="14">
        <v>2153</v>
      </c>
      <c r="F76" s="20">
        <f t="shared" ref="F76:F85" si="9">E76/C76</f>
        <v>1.4789627339859179E-2</v>
      </c>
      <c r="G76" s="14">
        <v>107649</v>
      </c>
      <c r="H76" s="15">
        <f t="shared" ref="H76:H85" si="10">G76/SUM($G$76:$G$85)</f>
        <v>0.25714347138550619</v>
      </c>
      <c r="I76" s="14">
        <v>134375</v>
      </c>
      <c r="J76" s="15">
        <f t="shared" ref="J76:J85" si="11">I76/C76</f>
        <v>0.92306371286278555</v>
      </c>
    </row>
    <row r="77" spans="2:10" x14ac:dyDescent="0.25">
      <c r="B77" s="28" t="s">
        <v>106</v>
      </c>
      <c r="C77" s="14">
        <v>107535</v>
      </c>
      <c r="D77" s="15">
        <f t="shared" si="8"/>
        <v>0.17247960992196834</v>
      </c>
      <c r="E77" s="14">
        <v>1691</v>
      </c>
      <c r="F77" s="20">
        <f t="shared" si="9"/>
        <v>1.5725112753987074E-2</v>
      </c>
      <c r="G77" s="14">
        <v>78170</v>
      </c>
      <c r="H77" s="15">
        <f t="shared" si="10"/>
        <v>0.18672635285237224</v>
      </c>
      <c r="I77" s="14">
        <v>98804</v>
      </c>
      <c r="J77" s="15">
        <f t="shared" si="11"/>
        <v>0.91880783000883437</v>
      </c>
    </row>
    <row r="78" spans="2:10" x14ac:dyDescent="0.25">
      <c r="B78" s="28" t="s">
        <v>107</v>
      </c>
      <c r="C78" s="14">
        <v>86125</v>
      </c>
      <c r="D78" s="15">
        <f t="shared" si="8"/>
        <v>0.138139270047236</v>
      </c>
      <c r="E78" s="14">
        <v>1328</v>
      </c>
      <c r="F78" s="20">
        <f t="shared" si="9"/>
        <v>1.541944847605225E-2</v>
      </c>
      <c r="G78" s="14">
        <v>60475</v>
      </c>
      <c r="H78" s="15">
        <f t="shared" si="10"/>
        <v>0.14445792744975325</v>
      </c>
      <c r="I78" s="14">
        <v>78709</v>
      </c>
      <c r="J78" s="15">
        <f t="shared" si="11"/>
        <v>0.91389259796806965</v>
      </c>
    </row>
    <row r="79" spans="2:10" x14ac:dyDescent="0.25">
      <c r="B79" s="28" t="s">
        <v>108</v>
      </c>
      <c r="C79" s="14">
        <v>81298</v>
      </c>
      <c r="D79" s="15">
        <f t="shared" si="8"/>
        <v>0.13039705516749137</v>
      </c>
      <c r="E79" s="14">
        <v>1440</v>
      </c>
      <c r="F79" s="20">
        <f t="shared" si="9"/>
        <v>1.7712612856404832E-2</v>
      </c>
      <c r="G79" s="14">
        <v>59491</v>
      </c>
      <c r="H79" s="15">
        <f t="shared" si="10"/>
        <v>0.14210742557938438</v>
      </c>
      <c r="I79" s="14">
        <v>75522</v>
      </c>
      <c r="J79" s="15">
        <f t="shared" si="11"/>
        <v>0.92895274176486509</v>
      </c>
    </row>
    <row r="80" spans="2:10" x14ac:dyDescent="0.25">
      <c r="B80" s="28" t="s">
        <v>109</v>
      </c>
      <c r="C80" s="14">
        <v>43074</v>
      </c>
      <c r="D80" s="15">
        <f t="shared" si="8"/>
        <v>6.9088080325278883E-2</v>
      </c>
      <c r="E80" s="14">
        <v>756</v>
      </c>
      <c r="F80" s="20">
        <f t="shared" si="9"/>
        <v>1.7551190973673213E-2</v>
      </c>
      <c r="G80" s="14">
        <v>31943</v>
      </c>
      <c r="H80" s="15">
        <f t="shared" si="10"/>
        <v>7.6302928094708025E-2</v>
      </c>
      <c r="I80" s="14">
        <v>39426</v>
      </c>
      <c r="J80" s="15">
        <f t="shared" si="11"/>
        <v>0.91530853879370389</v>
      </c>
    </row>
    <row r="81" spans="2:10" x14ac:dyDescent="0.25">
      <c r="B81" s="28" t="s">
        <v>110</v>
      </c>
      <c r="C81" s="14">
        <v>29973</v>
      </c>
      <c r="D81" s="15">
        <f t="shared" si="8"/>
        <v>4.8074871885350423E-2</v>
      </c>
      <c r="E81" s="14">
        <v>454</v>
      </c>
      <c r="F81" s="20">
        <f t="shared" si="9"/>
        <v>1.5146965602375471E-2</v>
      </c>
      <c r="G81" s="14">
        <v>23504</v>
      </c>
      <c r="H81" s="15">
        <f t="shared" si="10"/>
        <v>5.6144508090599426E-2</v>
      </c>
      <c r="I81" s="14">
        <v>27670</v>
      </c>
      <c r="J81" s="15">
        <f t="shared" si="11"/>
        <v>0.92316418109632004</v>
      </c>
    </row>
    <row r="82" spans="2:10" x14ac:dyDescent="0.25">
      <c r="B82" s="28" t="s">
        <v>111</v>
      </c>
      <c r="C82" s="14">
        <v>25835</v>
      </c>
      <c r="D82" s="15">
        <f t="shared" si="8"/>
        <v>4.1437771165983656E-2</v>
      </c>
      <c r="E82" s="14">
        <v>346</v>
      </c>
      <c r="F82" s="20">
        <f t="shared" si="9"/>
        <v>1.3392684342945617E-2</v>
      </c>
      <c r="G82" s="14">
        <v>19847</v>
      </c>
      <c r="H82" s="15">
        <f t="shared" si="10"/>
        <v>4.7408953883344401E-2</v>
      </c>
      <c r="I82" s="14">
        <v>23852</v>
      </c>
      <c r="J82" s="15">
        <f t="shared" si="11"/>
        <v>0.92324366169924521</v>
      </c>
    </row>
    <row r="83" spans="2:10" x14ac:dyDescent="0.25">
      <c r="B83" s="28" t="s">
        <v>112</v>
      </c>
      <c r="C83" s="14">
        <v>18773</v>
      </c>
      <c r="D83" s="15">
        <f t="shared" si="8"/>
        <v>3.0110752006929017E-2</v>
      </c>
      <c r="E83" s="14">
        <v>427</v>
      </c>
      <c r="F83" s="20">
        <f t="shared" si="9"/>
        <v>2.2745432269749108E-2</v>
      </c>
      <c r="G83" s="14">
        <v>13169</v>
      </c>
      <c r="H83" s="15">
        <f t="shared" si="10"/>
        <v>3.1457072287487398E-2</v>
      </c>
      <c r="I83" s="14">
        <v>17511</v>
      </c>
      <c r="J83" s="15">
        <f t="shared" si="11"/>
        <v>0.93277579502476959</v>
      </c>
    </row>
    <row r="84" spans="2:10" x14ac:dyDescent="0.25">
      <c r="B84" s="28" t="s">
        <v>113</v>
      </c>
      <c r="C84" s="14">
        <v>16584</v>
      </c>
      <c r="D84" s="15">
        <f t="shared" si="8"/>
        <v>2.6599728934262549E-2</v>
      </c>
      <c r="E84" s="14">
        <v>248</v>
      </c>
      <c r="F84" s="20">
        <f t="shared" si="9"/>
        <v>1.4954172696575013E-2</v>
      </c>
      <c r="G84" s="14">
        <v>12988</v>
      </c>
      <c r="H84" s="15">
        <f t="shared" si="10"/>
        <v>3.1024713711738656E-2</v>
      </c>
      <c r="I84" s="14">
        <v>15271</v>
      </c>
      <c r="J84" s="15">
        <f t="shared" si="11"/>
        <v>0.92082730342498798</v>
      </c>
    </row>
    <row r="85" spans="2:10" x14ac:dyDescent="0.25">
      <c r="B85" s="28" t="s">
        <v>114</v>
      </c>
      <c r="C85" s="14">
        <v>14453</v>
      </c>
      <c r="D85" s="15">
        <f t="shared" si="8"/>
        <v>2.3181734339537904E-2</v>
      </c>
      <c r="E85" s="14">
        <v>334</v>
      </c>
      <c r="F85" s="20">
        <f t="shared" si="9"/>
        <v>2.3109389054175603E-2</v>
      </c>
      <c r="G85" s="14">
        <v>11398</v>
      </c>
      <c r="H85" s="15">
        <f t="shared" si="10"/>
        <v>2.7226646665106036E-2</v>
      </c>
      <c r="I85" s="14">
        <v>13346</v>
      </c>
      <c r="J85" s="15">
        <f t="shared" si="11"/>
        <v>0.92340690514080126</v>
      </c>
    </row>
    <row r="86" spans="2:10" x14ac:dyDescent="0.25">
      <c r="B86" s="29" t="s">
        <v>75</v>
      </c>
      <c r="C86" s="29"/>
      <c r="D86" s="29"/>
      <c r="E86" s="29"/>
      <c r="F86" s="29"/>
      <c r="G86" s="29"/>
      <c r="H86" s="29"/>
      <c r="I86" s="29"/>
      <c r="J86" s="29"/>
    </row>
  </sheetData>
  <mergeCells count="8">
    <mergeCell ref="B52:J52"/>
    <mergeCell ref="B74:J74"/>
    <mergeCell ref="B86:J86"/>
    <mergeCell ref="B2:J3"/>
    <mergeCell ref="B4:J4"/>
    <mergeCell ref="B6:J6"/>
    <mergeCell ref="B18:J18"/>
    <mergeCell ref="B40:J40"/>
  </mergeCells>
  <pageMargins left="0.3" right="0.3" top="0.4" bottom="0.4" header="0.511811023622047" footer="0.511811023622047"/>
  <pageSetup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J10"/>
  <sheetViews>
    <sheetView showGridLines="0" zoomScaleNormal="100" workbookViewId="0"/>
  </sheetViews>
  <sheetFormatPr defaultColWidth="8.7109375" defaultRowHeight="15" x14ac:dyDescent="0.25"/>
  <cols>
    <col min="1" max="1" width="3" customWidth="1"/>
    <col min="2" max="2" width="20" customWidth="1"/>
    <col min="3" max="10" width="12" customWidth="1"/>
  </cols>
  <sheetData>
    <row r="2" spans="2:10" ht="31.5" customHeight="1" x14ac:dyDescent="0.25">
      <c r="B2" s="9" t="s">
        <v>115</v>
      </c>
      <c r="C2" s="9"/>
      <c r="D2" s="9"/>
      <c r="E2" s="9"/>
      <c r="F2" s="9"/>
      <c r="G2" s="9"/>
      <c r="H2" s="9"/>
      <c r="I2" s="9"/>
      <c r="J2" s="9"/>
    </row>
    <row r="3" spans="2:10" x14ac:dyDescent="0.25">
      <c r="B3" s="9"/>
      <c r="C3" s="9"/>
      <c r="D3" s="9"/>
      <c r="E3" s="9"/>
      <c r="F3" s="9"/>
      <c r="G3" s="9"/>
      <c r="H3" s="9"/>
      <c r="I3" s="9"/>
      <c r="J3" s="9"/>
    </row>
    <row r="4" spans="2:10" x14ac:dyDescent="0.25">
      <c r="B4" s="8" t="s">
        <v>116</v>
      </c>
      <c r="C4" s="8"/>
      <c r="D4" s="8"/>
      <c r="E4" s="8"/>
      <c r="F4" s="8"/>
      <c r="G4" s="8"/>
      <c r="H4" s="8"/>
      <c r="I4" s="8"/>
      <c r="J4" s="8"/>
    </row>
    <row r="6" spans="2:10" ht="21.75" customHeight="1" x14ac:dyDescent="0.25">
      <c r="B6" s="30" t="s">
        <v>117</v>
      </c>
      <c r="C6" s="30"/>
      <c r="D6" s="30"/>
      <c r="E6" s="30"/>
      <c r="F6" s="30"/>
      <c r="G6" s="30"/>
      <c r="H6" s="30"/>
      <c r="I6" s="30"/>
      <c r="J6" s="30"/>
    </row>
    <row r="7" spans="2:10" ht="25.5" x14ac:dyDescent="0.25">
      <c r="B7" s="12" t="s">
        <v>67</v>
      </c>
      <c r="C7" s="12" t="s">
        <v>18</v>
      </c>
      <c r="D7" s="12" t="s">
        <v>68</v>
      </c>
      <c r="E7" s="12" t="s">
        <v>20</v>
      </c>
      <c r="F7" s="12" t="s">
        <v>37</v>
      </c>
      <c r="G7" s="12" t="s">
        <v>19</v>
      </c>
      <c r="H7" s="12" t="s">
        <v>69</v>
      </c>
      <c r="I7" s="12" t="s">
        <v>54</v>
      </c>
      <c r="J7" s="12" t="s">
        <v>70</v>
      </c>
    </row>
    <row r="8" spans="2:10" x14ac:dyDescent="0.25">
      <c r="B8" s="28" t="s">
        <v>118</v>
      </c>
      <c r="C8" s="14">
        <v>620527</v>
      </c>
      <c r="D8" s="15">
        <f>C8/623465</f>
        <v>0.99528762641046409</v>
      </c>
      <c r="E8" s="14">
        <v>10028</v>
      </c>
      <c r="F8" s="20">
        <f>E8/C8</f>
        <v>1.6160457159801266E-2</v>
      </c>
      <c r="G8" s="14">
        <v>457854</v>
      </c>
      <c r="H8" s="15">
        <f>G8/SUM($G$8:$G$9)</f>
        <v>0.99360677083333337</v>
      </c>
      <c r="I8" s="14">
        <v>570384</v>
      </c>
      <c r="J8" s="15">
        <f>I8/C8</f>
        <v>0.91919287960072649</v>
      </c>
    </row>
    <row r="9" spans="2:10" x14ac:dyDescent="0.25">
      <c r="B9" s="28" t="s">
        <v>119</v>
      </c>
      <c r="C9" s="14">
        <v>2938</v>
      </c>
      <c r="D9" s="15">
        <f>C9/623465</f>
        <v>4.7123735895358999E-3</v>
      </c>
      <c r="E9" s="14">
        <v>3</v>
      </c>
      <c r="F9" s="20">
        <f>E9/C9</f>
        <v>1.0211027910142954E-3</v>
      </c>
      <c r="G9" s="14">
        <v>2946</v>
      </c>
      <c r="H9" s="15">
        <f>G9/SUM($G$8:$G$9)</f>
        <v>6.3932291666666669E-3</v>
      </c>
      <c r="I9" s="14">
        <v>2635</v>
      </c>
      <c r="J9" s="15">
        <f>I9/C9</f>
        <v>0.89686861810755614</v>
      </c>
    </row>
    <row r="10" spans="2:10" x14ac:dyDescent="0.25">
      <c r="B10" s="29" t="s">
        <v>75</v>
      </c>
      <c r="C10" s="29"/>
      <c r="D10" s="29"/>
      <c r="E10" s="29"/>
      <c r="F10" s="29"/>
      <c r="G10" s="29"/>
      <c r="H10" s="29"/>
      <c r="I10" s="29"/>
      <c r="J10" s="29"/>
    </row>
  </sheetData>
  <mergeCells count="4">
    <mergeCell ref="B2:J3"/>
    <mergeCell ref="B4:J4"/>
    <mergeCell ref="B6:J6"/>
    <mergeCell ref="B10:J10"/>
  </mergeCells>
  <pageMargins left="0.3" right="0.3" top="0.4" bottom="0.4" header="0.511811023622047" footer="0.511811023622047"/>
  <pageSetup fitToHeight="0"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J18"/>
  <sheetViews>
    <sheetView showGridLines="0" zoomScaleNormal="100" workbookViewId="0">
      <selection activeCell="M9" sqref="M9"/>
    </sheetView>
  </sheetViews>
  <sheetFormatPr defaultColWidth="8.7109375" defaultRowHeight="15" x14ac:dyDescent="0.25"/>
  <cols>
    <col min="1" max="1" width="3" customWidth="1"/>
    <col min="2" max="2" width="20" customWidth="1"/>
    <col min="3" max="10" width="12" customWidth="1"/>
  </cols>
  <sheetData>
    <row r="2" spans="2:10" ht="31.5" customHeight="1" x14ac:dyDescent="0.25">
      <c r="B2" s="32" t="s">
        <v>120</v>
      </c>
      <c r="C2" s="32"/>
      <c r="D2" s="32"/>
      <c r="E2" s="32"/>
      <c r="F2" s="32"/>
      <c r="G2" s="32"/>
      <c r="H2" s="32"/>
      <c r="I2" s="32"/>
      <c r="J2" s="32"/>
    </row>
    <row r="3" spans="2:10" x14ac:dyDescent="0.25">
      <c r="B3" s="32"/>
      <c r="C3" s="32"/>
      <c r="D3" s="32"/>
      <c r="E3" s="32"/>
      <c r="F3" s="32"/>
      <c r="G3" s="32"/>
      <c r="H3" s="32"/>
      <c r="I3" s="32"/>
      <c r="J3" s="32"/>
    </row>
    <row r="4" spans="2:10" x14ac:dyDescent="0.25">
      <c r="B4" s="8" t="s">
        <v>121</v>
      </c>
      <c r="C4" s="8"/>
      <c r="D4" s="8"/>
      <c r="E4" s="8"/>
      <c r="F4" s="8"/>
      <c r="G4" s="8"/>
      <c r="H4" s="8"/>
      <c r="I4" s="8"/>
      <c r="J4" s="8"/>
    </row>
    <row r="6" spans="2:10" ht="45.75" customHeight="1" x14ac:dyDescent="0.25">
      <c r="B6" s="33">
        <v>1</v>
      </c>
      <c r="C6" s="33"/>
      <c r="D6" s="34" t="s">
        <v>122</v>
      </c>
      <c r="E6" s="34"/>
      <c r="F6" s="34"/>
      <c r="G6" s="34"/>
      <c r="H6" s="34"/>
      <c r="I6" s="34"/>
      <c r="J6" s="34"/>
    </row>
    <row r="7" spans="2:10" ht="45.75" customHeight="1" x14ac:dyDescent="0.25">
      <c r="B7" s="33">
        <v>2</v>
      </c>
      <c r="C7" s="33"/>
      <c r="D7" s="34" t="s">
        <v>123</v>
      </c>
      <c r="E7" s="34"/>
      <c r="F7" s="34"/>
      <c r="G7" s="34"/>
      <c r="H7" s="34"/>
      <c r="I7" s="34"/>
      <c r="J7" s="34"/>
    </row>
    <row r="8" spans="2:10" ht="45.75" customHeight="1" x14ac:dyDescent="0.25">
      <c r="B8" s="33">
        <v>3</v>
      </c>
      <c r="C8" s="33"/>
      <c r="D8" s="43" t="s">
        <v>133</v>
      </c>
      <c r="E8" s="34"/>
      <c r="F8" s="34"/>
      <c r="G8" s="34"/>
      <c r="H8" s="34"/>
      <c r="I8" s="34"/>
      <c r="J8" s="34"/>
    </row>
    <row r="9" spans="2:10" ht="45.75" customHeight="1" x14ac:dyDescent="0.25">
      <c r="B9" s="33">
        <v>4</v>
      </c>
      <c r="C9" s="33"/>
      <c r="D9" s="34" t="s">
        <v>124</v>
      </c>
      <c r="E9" s="34"/>
      <c r="F9" s="34"/>
      <c r="G9" s="34"/>
      <c r="H9" s="34"/>
      <c r="I9" s="34"/>
      <c r="J9" s="34"/>
    </row>
    <row r="10" spans="2:10" ht="45.75" customHeight="1" x14ac:dyDescent="0.25">
      <c r="B10" s="33">
        <v>5</v>
      </c>
      <c r="C10" s="33"/>
      <c r="D10" s="34" t="s">
        <v>125</v>
      </c>
      <c r="E10" s="34"/>
      <c r="F10" s="34"/>
      <c r="G10" s="34"/>
      <c r="H10" s="34"/>
      <c r="I10" s="34"/>
      <c r="J10" s="34"/>
    </row>
    <row r="11" spans="2:10" ht="45.75" customHeight="1" x14ac:dyDescent="0.25">
      <c r="B11" s="33">
        <v>6</v>
      </c>
      <c r="C11" s="33"/>
      <c r="D11" s="34" t="s">
        <v>126</v>
      </c>
      <c r="E11" s="34"/>
      <c r="F11" s="34"/>
      <c r="G11" s="34"/>
      <c r="H11" s="34"/>
      <c r="I11" s="34"/>
      <c r="J11" s="34"/>
    </row>
    <row r="12" spans="2:10" ht="45.75" customHeight="1" x14ac:dyDescent="0.25">
      <c r="B12" s="33">
        <v>7</v>
      </c>
      <c r="C12" s="33"/>
      <c r="D12" s="34" t="s">
        <v>127</v>
      </c>
      <c r="E12" s="34"/>
      <c r="F12" s="34"/>
      <c r="G12" s="34"/>
      <c r="H12" s="34"/>
      <c r="I12" s="34"/>
      <c r="J12" s="34"/>
    </row>
    <row r="13" spans="2:10" ht="45.75" customHeight="1" x14ac:dyDescent="0.25">
      <c r="B13" s="33">
        <v>8</v>
      </c>
      <c r="C13" s="33"/>
      <c r="D13" s="34" t="s">
        <v>128</v>
      </c>
      <c r="E13" s="34"/>
      <c r="F13" s="34"/>
      <c r="G13" s="34"/>
      <c r="H13" s="34"/>
      <c r="I13" s="34"/>
      <c r="J13" s="34"/>
    </row>
    <row r="14" spans="2:10" ht="45.75" customHeight="1" x14ac:dyDescent="0.25">
      <c r="B14" s="33">
        <v>9</v>
      </c>
      <c r="C14" s="33"/>
      <c r="D14" s="34" t="s">
        <v>129</v>
      </c>
      <c r="E14" s="34"/>
      <c r="F14" s="34"/>
      <c r="G14" s="34"/>
      <c r="H14" s="34"/>
      <c r="I14" s="34"/>
      <c r="J14" s="34"/>
    </row>
    <row r="15" spans="2:10" ht="45.75" customHeight="1" x14ac:dyDescent="0.25">
      <c r="B15" s="33">
        <v>10</v>
      </c>
      <c r="C15" s="33"/>
      <c r="D15" s="34" t="s">
        <v>130</v>
      </c>
      <c r="E15" s="34"/>
      <c r="F15" s="34"/>
      <c r="G15" s="34"/>
      <c r="H15" s="34"/>
      <c r="I15" s="34"/>
      <c r="J15" s="34"/>
    </row>
    <row r="16" spans="2:10" ht="45.75" customHeight="1" x14ac:dyDescent="0.25">
      <c r="B16" s="33">
        <v>11</v>
      </c>
      <c r="C16" s="33"/>
      <c r="D16" s="34" t="s">
        <v>131</v>
      </c>
      <c r="E16" s="34"/>
      <c r="F16" s="34"/>
      <c r="G16" s="34"/>
      <c r="H16" s="34"/>
      <c r="I16" s="34"/>
      <c r="J16" s="34"/>
    </row>
    <row r="18" spans="2:10" ht="30" customHeight="1" x14ac:dyDescent="0.25">
      <c r="B18" s="35" t="s">
        <v>132</v>
      </c>
      <c r="C18" s="35"/>
      <c r="D18" s="35"/>
      <c r="E18" s="35"/>
      <c r="F18" s="35"/>
      <c r="G18" s="35"/>
      <c r="H18" s="35"/>
      <c r="I18" s="35"/>
      <c r="J18" s="35"/>
    </row>
  </sheetData>
  <mergeCells count="25">
    <mergeCell ref="B18:J18"/>
    <mergeCell ref="B14:C14"/>
    <mergeCell ref="D14:J14"/>
    <mergeCell ref="B15:C15"/>
    <mergeCell ref="D15:J15"/>
    <mergeCell ref="B16:C16"/>
    <mergeCell ref="D16:J16"/>
    <mergeCell ref="B11:C11"/>
    <mergeCell ref="D11:J11"/>
    <mergeCell ref="B12:C12"/>
    <mergeCell ref="D12:J12"/>
    <mergeCell ref="B13:C13"/>
    <mergeCell ref="D13:J13"/>
    <mergeCell ref="B8:C8"/>
    <mergeCell ref="D8:J8"/>
    <mergeCell ref="B9:C9"/>
    <mergeCell ref="D9:J9"/>
    <mergeCell ref="B10:C10"/>
    <mergeCell ref="D10:J10"/>
    <mergeCell ref="B2:J3"/>
    <mergeCell ref="B4:J4"/>
    <mergeCell ref="B6:C6"/>
    <mergeCell ref="D6:J6"/>
    <mergeCell ref="B7:C7"/>
    <mergeCell ref="D7:J7"/>
  </mergeCells>
  <pageMargins left="0.3" right="0.3" top="0.4" bottom="0.4" header="0.511811023622047" footer="0.511811023622047"/>
  <pageSetup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Portada</vt:lpstr>
      <vt:lpstr>Resumen</vt:lpstr>
      <vt:lpstr>Desempeño Diario</vt:lpstr>
      <vt:lpstr>Audiencia</vt:lpstr>
      <vt:lpstr>Contenido</vt:lpstr>
      <vt:lpstr>Dispositivo</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Alfredo Ron</cp:lastModifiedBy>
  <cp:revision>1</cp:revision>
  <dcterms:created xsi:type="dcterms:W3CDTF">2026-08-11T22:12:03Z</dcterms:created>
  <dcterms:modified xsi:type="dcterms:W3CDTF">2026-08-13T17:12:24Z</dcterms:modified>
  <dc:language>en-US</dc:language>
</cp:coreProperties>
</file>